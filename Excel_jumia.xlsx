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Assignments\"/>
    </mc:Choice>
  </mc:AlternateContent>
  <xr:revisionPtr revIDLastSave="0" documentId="13_ncr:10000001_{5E2437F8-CC97-42FD-B351-4A3FB5CA38D3}" xr6:coauthVersionLast="47" xr6:coauthVersionMax="47" xr10:uidLastSave="{00000000-0000-0000-0000-000000000000}"/>
  <bookViews>
    <workbookView xWindow="-90" yWindow="-90" windowWidth="19380" windowHeight="10980" firstSheet="11" activeTab="13" xr2:uid="{EF69EC01-ECD9-416E-B34A-53D8BC696260}"/>
  </bookViews>
  <sheets>
    <sheet name="productsbyrating" sheetId="14" r:id="rId1"/>
    <sheet name="nofReviews" sheetId="2" r:id="rId2"/>
    <sheet name="avgrating" sheetId="3" r:id="rId3"/>
    <sheet name="numproducts" sheetId="5" r:id="rId4"/>
    <sheet name="toprating" sheetId="6" r:id="rId5"/>
    <sheet name="topprodreview" sheetId="7" r:id="rId6"/>
    <sheet name="Avgdiscount%" sheetId="4" r:id="rId7"/>
    <sheet name="topbydiscount" sheetId="9" r:id="rId8"/>
    <sheet name="Dashboard" sheetId="10" r:id="rId9"/>
    <sheet name="discount%vs reviews" sheetId="11" r:id="rId10"/>
    <sheet name="Ratingvsreviews" sheetId="12" r:id="rId11"/>
    <sheet name="productsbydiscount" sheetId="15" r:id="rId12"/>
    <sheet name="Excel_jumia" sheetId="1" r:id="rId13"/>
    <sheet name="Documentation" sheetId="16" r:id="rId14"/>
  </sheets>
  <definedNames>
    <definedName name="_xlnm._FilterDatabase" localSheetId="12" hidden="1">Excel_jumia!$H$1:$H$116</definedName>
    <definedName name="Slicer_Discount_category">#N/A</definedName>
    <definedName name="Slicer_Price_range">#N/A</definedName>
    <definedName name="Slicer_Rating_Category">#N/A</definedName>
  </definedNames>
  <calcPr calcId="191029"/>
  <pivotCaches>
    <pivotCache cacheId="6" r:id="rId15"/>
  </pivotCaches>
  <fileRecoveryPr repairLoad="1"/>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1" i="1" l="1"/>
  <c r="G111" i="1"/>
  <c r="C111" i="1"/>
  <c r="B111" i="1"/>
  <c r="I110" i="1"/>
  <c r="F110" i="1"/>
  <c r="J110" i="1" s="1"/>
  <c r="E110" i="1"/>
  <c r="D110" i="1"/>
  <c r="I109" i="1"/>
  <c r="F109" i="1"/>
  <c r="J109" i="1" s="1"/>
  <c r="E109" i="1"/>
  <c r="D109" i="1"/>
  <c r="I108" i="1"/>
  <c r="F108" i="1"/>
  <c r="J108" i="1" s="1"/>
  <c r="E108" i="1"/>
  <c r="D108" i="1"/>
  <c r="I107" i="1"/>
  <c r="F107" i="1"/>
  <c r="J107" i="1" s="1"/>
  <c r="E107" i="1"/>
  <c r="D107" i="1"/>
  <c r="I106" i="1"/>
  <c r="F106" i="1"/>
  <c r="J106" i="1" s="1"/>
  <c r="E106" i="1"/>
  <c r="D106" i="1"/>
  <c r="I105" i="1"/>
  <c r="F105" i="1"/>
  <c r="J105" i="1" s="1"/>
  <c r="E105" i="1"/>
  <c r="D105" i="1"/>
  <c r="I104" i="1"/>
  <c r="F104" i="1"/>
  <c r="J104" i="1" s="1"/>
  <c r="E104" i="1"/>
  <c r="D104" i="1"/>
  <c r="I103" i="1"/>
  <c r="F103" i="1"/>
  <c r="J103" i="1" s="1"/>
  <c r="E103" i="1"/>
  <c r="D103" i="1"/>
  <c r="I102" i="1"/>
  <c r="F102" i="1"/>
  <c r="J102" i="1" s="1"/>
  <c r="E102" i="1"/>
  <c r="D102" i="1"/>
  <c r="I101" i="1"/>
  <c r="F101" i="1"/>
  <c r="J101" i="1" s="1"/>
  <c r="E101" i="1"/>
  <c r="D101" i="1"/>
  <c r="I100" i="1"/>
  <c r="F100" i="1"/>
  <c r="J100" i="1" s="1"/>
  <c r="E100" i="1"/>
  <c r="D100" i="1"/>
  <c r="I99" i="1"/>
  <c r="F99" i="1"/>
  <c r="J99" i="1" s="1"/>
  <c r="E99" i="1"/>
  <c r="D99" i="1"/>
  <c r="I98" i="1"/>
  <c r="F98" i="1"/>
  <c r="J98" i="1" s="1"/>
  <c r="E98" i="1"/>
  <c r="D98" i="1"/>
  <c r="I97" i="1"/>
  <c r="F97" i="1"/>
  <c r="J97" i="1" s="1"/>
  <c r="E97" i="1"/>
  <c r="D97" i="1"/>
  <c r="I96" i="1"/>
  <c r="F96" i="1"/>
  <c r="J96" i="1" s="1"/>
  <c r="E96" i="1"/>
  <c r="D96" i="1"/>
  <c r="I95" i="1"/>
  <c r="F95" i="1"/>
  <c r="J95" i="1" s="1"/>
  <c r="E95" i="1"/>
  <c r="D95" i="1"/>
  <c r="I94" i="1"/>
  <c r="F94" i="1"/>
  <c r="J94" i="1" s="1"/>
  <c r="E94" i="1"/>
  <c r="D94" i="1"/>
  <c r="I93" i="1"/>
  <c r="F93" i="1"/>
  <c r="J93" i="1" s="1"/>
  <c r="E93" i="1"/>
  <c r="D93" i="1"/>
  <c r="I92" i="1"/>
  <c r="F92" i="1"/>
  <c r="J92" i="1" s="1"/>
  <c r="E92" i="1"/>
  <c r="D92" i="1"/>
  <c r="I91" i="1"/>
  <c r="F91" i="1"/>
  <c r="J91" i="1" s="1"/>
  <c r="E91" i="1"/>
  <c r="D91" i="1"/>
  <c r="I90" i="1"/>
  <c r="F90" i="1"/>
  <c r="J90" i="1" s="1"/>
  <c r="E90" i="1"/>
  <c r="D90" i="1"/>
  <c r="I89" i="1"/>
  <c r="F89" i="1"/>
  <c r="J89" i="1" s="1"/>
  <c r="E89" i="1"/>
  <c r="D89" i="1"/>
  <c r="I88" i="1"/>
  <c r="F88" i="1"/>
  <c r="J88" i="1" s="1"/>
  <c r="E88" i="1"/>
  <c r="D88" i="1"/>
  <c r="I87" i="1"/>
  <c r="F87" i="1"/>
  <c r="J87" i="1" s="1"/>
  <c r="E87" i="1"/>
  <c r="D87" i="1"/>
  <c r="I86" i="1"/>
  <c r="F86" i="1"/>
  <c r="J86" i="1" s="1"/>
  <c r="E86" i="1"/>
  <c r="D86" i="1"/>
  <c r="I85" i="1"/>
  <c r="F85" i="1"/>
  <c r="J85" i="1" s="1"/>
  <c r="E85" i="1"/>
  <c r="D85" i="1"/>
  <c r="I84" i="1"/>
  <c r="F84" i="1"/>
  <c r="J84" i="1" s="1"/>
  <c r="E84" i="1"/>
  <c r="D84" i="1"/>
  <c r="I83" i="1"/>
  <c r="F83" i="1"/>
  <c r="J83" i="1" s="1"/>
  <c r="E83" i="1"/>
  <c r="D83" i="1"/>
  <c r="I82" i="1"/>
  <c r="F82" i="1"/>
  <c r="J82" i="1" s="1"/>
  <c r="E82" i="1"/>
  <c r="D82" i="1"/>
  <c r="I81" i="1"/>
  <c r="F81" i="1"/>
  <c r="J81" i="1" s="1"/>
  <c r="E81" i="1"/>
  <c r="D81" i="1"/>
  <c r="I80" i="1"/>
  <c r="F80" i="1"/>
  <c r="J80" i="1" s="1"/>
  <c r="E80" i="1"/>
  <c r="D80" i="1"/>
  <c r="I79" i="1"/>
  <c r="F79" i="1"/>
  <c r="J79" i="1" s="1"/>
  <c r="E79" i="1"/>
  <c r="D79" i="1"/>
  <c r="I78" i="1"/>
  <c r="F78" i="1"/>
  <c r="J78" i="1" s="1"/>
  <c r="E78" i="1"/>
  <c r="D78" i="1"/>
  <c r="I77" i="1"/>
  <c r="F77" i="1"/>
  <c r="J77" i="1" s="1"/>
  <c r="E77" i="1"/>
  <c r="D77" i="1"/>
  <c r="I76" i="1"/>
  <c r="F76" i="1"/>
  <c r="J76" i="1" s="1"/>
  <c r="E76" i="1"/>
  <c r="D76" i="1"/>
  <c r="I75" i="1"/>
  <c r="F75" i="1"/>
  <c r="J75" i="1" s="1"/>
  <c r="E75" i="1"/>
  <c r="D75" i="1"/>
  <c r="I74" i="1"/>
  <c r="F74" i="1"/>
  <c r="J74" i="1" s="1"/>
  <c r="E74" i="1"/>
  <c r="D74" i="1"/>
  <c r="I73" i="1"/>
  <c r="F73" i="1"/>
  <c r="J73" i="1" s="1"/>
  <c r="E73" i="1"/>
  <c r="D73" i="1"/>
  <c r="I72" i="1"/>
  <c r="F72" i="1"/>
  <c r="J72" i="1" s="1"/>
  <c r="E72" i="1"/>
  <c r="D72" i="1"/>
  <c r="I71" i="1"/>
  <c r="F71" i="1"/>
  <c r="J71" i="1" s="1"/>
  <c r="E71" i="1"/>
  <c r="D71" i="1"/>
  <c r="I70" i="1"/>
  <c r="F70" i="1"/>
  <c r="J70" i="1" s="1"/>
  <c r="E70" i="1"/>
  <c r="D70" i="1"/>
  <c r="I69" i="1"/>
  <c r="F69" i="1"/>
  <c r="J69" i="1" s="1"/>
  <c r="E69" i="1"/>
  <c r="D69" i="1"/>
  <c r="I68" i="1"/>
  <c r="F68" i="1"/>
  <c r="J68" i="1" s="1"/>
  <c r="E68" i="1"/>
  <c r="D68" i="1"/>
  <c r="I67" i="1"/>
  <c r="F67" i="1"/>
  <c r="J67" i="1" s="1"/>
  <c r="E67" i="1"/>
  <c r="D67" i="1"/>
  <c r="I66" i="1"/>
  <c r="F66" i="1"/>
  <c r="J66" i="1" s="1"/>
  <c r="E66" i="1"/>
  <c r="D66" i="1"/>
  <c r="I65" i="1"/>
  <c r="F65" i="1"/>
  <c r="J65" i="1" s="1"/>
  <c r="E65" i="1"/>
  <c r="D65" i="1"/>
  <c r="I64" i="1"/>
  <c r="F64" i="1"/>
  <c r="J64" i="1" s="1"/>
  <c r="E64" i="1"/>
  <c r="D64" i="1"/>
  <c r="I63" i="1"/>
  <c r="F63" i="1"/>
  <c r="J63" i="1" s="1"/>
  <c r="E63" i="1"/>
  <c r="D63" i="1"/>
  <c r="I62" i="1"/>
  <c r="F62" i="1"/>
  <c r="J62" i="1" s="1"/>
  <c r="E62" i="1"/>
  <c r="D62" i="1"/>
  <c r="I61" i="1"/>
  <c r="F61" i="1"/>
  <c r="J61" i="1" s="1"/>
  <c r="E61" i="1"/>
  <c r="D61" i="1"/>
  <c r="I60" i="1"/>
  <c r="F60" i="1"/>
  <c r="J60" i="1" s="1"/>
  <c r="E60" i="1"/>
  <c r="D60" i="1"/>
  <c r="I59" i="1"/>
  <c r="F59" i="1"/>
  <c r="J59" i="1" s="1"/>
  <c r="E59" i="1"/>
  <c r="D59" i="1"/>
  <c r="I58" i="1"/>
  <c r="F58" i="1"/>
  <c r="J58" i="1" s="1"/>
  <c r="E58" i="1"/>
  <c r="D58" i="1"/>
  <c r="I57" i="1"/>
  <c r="F57" i="1"/>
  <c r="J57" i="1" s="1"/>
  <c r="E57" i="1"/>
  <c r="D57" i="1"/>
  <c r="I56" i="1"/>
  <c r="F56" i="1"/>
  <c r="J56" i="1" s="1"/>
  <c r="E56" i="1"/>
  <c r="D56" i="1"/>
  <c r="I55" i="1"/>
  <c r="F55" i="1"/>
  <c r="J55" i="1" s="1"/>
  <c r="E55" i="1"/>
  <c r="D55" i="1"/>
  <c r="I54" i="1"/>
  <c r="F54" i="1"/>
  <c r="J54" i="1" s="1"/>
  <c r="E54" i="1"/>
  <c r="D54" i="1"/>
  <c r="I53" i="1"/>
  <c r="F53" i="1"/>
  <c r="J53" i="1" s="1"/>
  <c r="E53" i="1"/>
  <c r="D53" i="1"/>
  <c r="I52" i="1"/>
  <c r="F52" i="1"/>
  <c r="J52" i="1" s="1"/>
  <c r="E52" i="1"/>
  <c r="D52" i="1"/>
  <c r="I51" i="1"/>
  <c r="F51" i="1"/>
  <c r="J51" i="1" s="1"/>
  <c r="E51" i="1"/>
  <c r="D51" i="1"/>
  <c r="I50" i="1"/>
  <c r="F50" i="1"/>
  <c r="J50" i="1" s="1"/>
  <c r="E50" i="1"/>
  <c r="D50" i="1"/>
  <c r="I49" i="1"/>
  <c r="F49" i="1"/>
  <c r="J49" i="1" s="1"/>
  <c r="E49" i="1"/>
  <c r="D49" i="1"/>
  <c r="I48" i="1"/>
  <c r="F48" i="1"/>
  <c r="J48" i="1" s="1"/>
  <c r="E48" i="1"/>
  <c r="D48" i="1"/>
  <c r="I47" i="1"/>
  <c r="F47" i="1"/>
  <c r="J47" i="1" s="1"/>
  <c r="E47" i="1"/>
  <c r="D47" i="1"/>
  <c r="I46" i="1"/>
  <c r="F46" i="1"/>
  <c r="J46" i="1" s="1"/>
  <c r="E46" i="1"/>
  <c r="D46" i="1"/>
  <c r="I45" i="1"/>
  <c r="F45" i="1"/>
  <c r="J45" i="1" s="1"/>
  <c r="E45" i="1"/>
  <c r="D45" i="1"/>
  <c r="I44" i="1"/>
  <c r="F44" i="1"/>
  <c r="J44" i="1" s="1"/>
  <c r="E44" i="1"/>
  <c r="D44" i="1"/>
  <c r="I43" i="1"/>
  <c r="F43" i="1"/>
  <c r="J43" i="1" s="1"/>
  <c r="E43" i="1"/>
  <c r="D43" i="1"/>
  <c r="I42" i="1"/>
  <c r="F42" i="1"/>
  <c r="J42" i="1" s="1"/>
  <c r="E42" i="1"/>
  <c r="D42" i="1"/>
  <c r="I41" i="1"/>
  <c r="F41" i="1"/>
  <c r="J41" i="1" s="1"/>
  <c r="E41" i="1"/>
  <c r="D41" i="1"/>
  <c r="I40" i="1"/>
  <c r="F40" i="1"/>
  <c r="J40" i="1" s="1"/>
  <c r="E40" i="1"/>
  <c r="D40" i="1"/>
  <c r="I39" i="1"/>
  <c r="F39" i="1"/>
  <c r="J39" i="1" s="1"/>
  <c r="E39" i="1"/>
  <c r="D39" i="1"/>
  <c r="I38" i="1"/>
  <c r="F38" i="1"/>
  <c r="J38" i="1" s="1"/>
  <c r="E38" i="1"/>
  <c r="D38" i="1"/>
  <c r="I37" i="1"/>
  <c r="F37" i="1"/>
  <c r="J37" i="1" s="1"/>
  <c r="E37" i="1"/>
  <c r="D37" i="1"/>
  <c r="I36" i="1"/>
  <c r="F36" i="1"/>
  <c r="J36" i="1" s="1"/>
  <c r="E36" i="1"/>
  <c r="D36" i="1"/>
  <c r="I35" i="1"/>
  <c r="F35" i="1"/>
  <c r="J35" i="1" s="1"/>
  <c r="E35" i="1"/>
  <c r="D35" i="1"/>
  <c r="I34" i="1"/>
  <c r="F34" i="1"/>
  <c r="J34" i="1" s="1"/>
  <c r="E34" i="1"/>
  <c r="D34" i="1"/>
  <c r="I33" i="1"/>
  <c r="F33" i="1"/>
  <c r="J33" i="1" s="1"/>
  <c r="E33" i="1"/>
  <c r="D33" i="1"/>
  <c r="I32" i="1"/>
  <c r="F32" i="1"/>
  <c r="J32" i="1" s="1"/>
  <c r="E32" i="1"/>
  <c r="D32" i="1"/>
  <c r="I31" i="1"/>
  <c r="F31" i="1"/>
  <c r="J31" i="1" s="1"/>
  <c r="E31" i="1"/>
  <c r="D31" i="1"/>
  <c r="I30" i="1"/>
  <c r="F30" i="1"/>
  <c r="J30" i="1" s="1"/>
  <c r="E30" i="1"/>
  <c r="D30" i="1"/>
  <c r="I29" i="1"/>
  <c r="F29" i="1"/>
  <c r="J29" i="1" s="1"/>
  <c r="E29" i="1"/>
  <c r="D29" i="1"/>
  <c r="I28" i="1"/>
  <c r="F28" i="1"/>
  <c r="J28" i="1" s="1"/>
  <c r="E28" i="1"/>
  <c r="D28" i="1"/>
  <c r="I27" i="1"/>
  <c r="F27" i="1"/>
  <c r="J27" i="1" s="1"/>
  <c r="E27" i="1"/>
  <c r="D27" i="1"/>
  <c r="I26" i="1"/>
  <c r="F26" i="1"/>
  <c r="J26" i="1" s="1"/>
  <c r="E26" i="1"/>
  <c r="D26" i="1"/>
  <c r="I25" i="1"/>
  <c r="F25" i="1"/>
  <c r="J25" i="1" s="1"/>
  <c r="E25" i="1"/>
  <c r="D25" i="1"/>
  <c r="I24" i="1"/>
  <c r="F24" i="1"/>
  <c r="J24" i="1" s="1"/>
  <c r="E24" i="1"/>
  <c r="D24" i="1"/>
  <c r="I23" i="1"/>
  <c r="F23" i="1"/>
  <c r="J23" i="1" s="1"/>
  <c r="E23" i="1"/>
  <c r="D23" i="1"/>
  <c r="I22" i="1"/>
  <c r="F22" i="1"/>
  <c r="J22" i="1" s="1"/>
  <c r="E22" i="1"/>
  <c r="D22" i="1"/>
  <c r="I21" i="1"/>
  <c r="F21" i="1"/>
  <c r="J21" i="1" s="1"/>
  <c r="E21" i="1"/>
  <c r="D21" i="1"/>
  <c r="I20" i="1"/>
  <c r="F20" i="1"/>
  <c r="J20" i="1" s="1"/>
  <c r="E20" i="1"/>
  <c r="D20" i="1"/>
  <c r="I19" i="1"/>
  <c r="F19" i="1"/>
  <c r="J19" i="1" s="1"/>
  <c r="E19" i="1"/>
  <c r="D19" i="1"/>
  <c r="I18" i="1"/>
  <c r="F18" i="1"/>
  <c r="J18" i="1" s="1"/>
  <c r="E18" i="1"/>
  <c r="D18" i="1"/>
  <c r="I17" i="1"/>
  <c r="F17" i="1"/>
  <c r="J17" i="1" s="1"/>
  <c r="E17" i="1"/>
  <c r="D17" i="1"/>
  <c r="I16" i="1"/>
  <c r="F16" i="1"/>
  <c r="J16" i="1" s="1"/>
  <c r="E16" i="1"/>
  <c r="D16" i="1"/>
  <c r="I15" i="1"/>
  <c r="F15" i="1"/>
  <c r="J15" i="1" s="1"/>
  <c r="E15" i="1"/>
  <c r="D15" i="1"/>
  <c r="I14" i="1"/>
  <c r="F14" i="1"/>
  <c r="J14" i="1" s="1"/>
  <c r="E14" i="1"/>
  <c r="D14" i="1"/>
  <c r="I13" i="1"/>
  <c r="F13" i="1"/>
  <c r="J13" i="1" s="1"/>
  <c r="E13" i="1"/>
  <c r="D13" i="1"/>
  <c r="I12" i="1"/>
  <c r="F12" i="1"/>
  <c r="J12" i="1" s="1"/>
  <c r="E12" i="1"/>
  <c r="D12" i="1"/>
  <c r="I11" i="1"/>
  <c r="F11" i="1"/>
  <c r="J11" i="1" s="1"/>
  <c r="E11" i="1"/>
  <c r="D11" i="1"/>
  <c r="I10" i="1"/>
  <c r="F10" i="1"/>
  <c r="J10" i="1" s="1"/>
  <c r="E10" i="1"/>
  <c r="D10" i="1"/>
  <c r="I9" i="1"/>
  <c r="F9" i="1"/>
  <c r="J9" i="1" s="1"/>
  <c r="E9" i="1"/>
  <c r="D9" i="1"/>
  <c r="I8" i="1"/>
  <c r="F8" i="1"/>
  <c r="J8" i="1" s="1"/>
  <c r="E8" i="1"/>
  <c r="D8" i="1"/>
  <c r="I7" i="1"/>
  <c r="F7" i="1"/>
  <c r="J7" i="1" s="1"/>
  <c r="E7" i="1"/>
  <c r="D7" i="1"/>
  <c r="I6" i="1"/>
  <c r="F6" i="1"/>
  <c r="J6" i="1" s="1"/>
  <c r="E6" i="1"/>
  <c r="D6" i="1"/>
  <c r="I5" i="1"/>
  <c r="F5" i="1"/>
  <c r="J5" i="1" s="1"/>
  <c r="E5" i="1"/>
  <c r="D5" i="1"/>
  <c r="I4" i="1"/>
  <c r="F4" i="1"/>
  <c r="J4" i="1" s="1"/>
  <c r="E4" i="1"/>
  <c r="D4" i="1"/>
  <c r="I3" i="1"/>
  <c r="F3" i="1"/>
  <c r="J3" i="1" s="1"/>
  <c r="E3" i="1"/>
  <c r="D3" i="1"/>
  <c r="I2" i="1"/>
  <c r="F2" i="1"/>
  <c r="J2" i="1" s="1"/>
  <c r="E2" i="1"/>
  <c r="D2" i="1"/>
  <c r="F111" i="1" l="1"/>
</calcChain>
</file>

<file path=xl/sharedStrings.xml><?xml version="1.0" encoding="utf-8"?>
<sst xmlns="http://schemas.openxmlformats.org/spreadsheetml/2006/main" count="245" uniqueCount="169">
  <si>
    <t>Product</t>
  </si>
  <si>
    <t>Current price</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</si>
  <si>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</si>
  <si>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</si>
  <si>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</si>
  <si>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</si>
  <si>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</si>
  <si>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</si>
  <si>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</si>
  <si>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</si>
  <si>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</si>
  <si>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</si>
  <si>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</si>
  <si>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</si>
  <si>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</si>
  <si>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</si>
  <si>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</si>
  <si>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</si>
  <si>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</si>
  <si>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</si>
  <si>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</si>
  <si>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</si>
  <si>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</si>
  <si>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</si>
  <si>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</si>
  <si>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</si>
  <si>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</si>
  <si>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</si>
  <si>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</si>
  <si>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</si>
  <si>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</si>
  <si>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</si>
  <si>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</si>
  <si>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</si>
  <si>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53Pcs/Set Yarn Knitting Crochet Hooks With Bag - Fortune Cat</t>
  </si>
  <si>
    <t>53 Pieces/Set Yarn Knitting Crochet Hooks With Bag - Pansies</t>
  </si>
  <si>
    <t>Classic Black Cat Cotton Hemp Pillow Case For Home Car</t>
  </si>
  <si>
    <t>Punch-free Great Load Bearing Bathroom Storage Rack Wall Shelf-White</t>
  </si>
  <si>
    <t>LASA Stainless Steel Double Wall Mount Soap Dispenser - 500ml</t>
  </si>
  <si>
    <t>4M Float Switch Water Level Controller -Water Tank</t>
  </si>
  <si>
    <t>Modern Sofa Throw Pillow Cover-45x45cm-Blue&amp;Red</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</si>
  <si>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</si>
  <si>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</si>
  <si>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</si>
  <si>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</si>
  <si>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</si>
  <si>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</si>
  <si>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</si>
  <si>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</si>
  <si>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</si>
  <si>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</si>
  <si>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</si>
  <si>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</si>
  <si>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</si>
  <si>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</si>
  <si>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</si>
  <si>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</si>
  <si>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</si>
  <si>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</si>
  <si>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</si>
  <si>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</si>
  <si>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</si>
  <si>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</si>
  <si>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</si>
  <si>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</si>
  <si>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</si>
  <si>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</si>
  <si>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</si>
  <si>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</si>
  <si>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</si>
  <si>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</si>
  <si>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</si>
  <si>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</si>
  <si>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</si>
  <si>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</si>
  <si>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</si>
  <si>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</si>
  <si>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</si>
  <si>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</si>
  <si>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</si>
  <si>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</si>
  <si>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</si>
  <si>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</si>
  <si>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</si>
  <si>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</si>
  <si>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</si>
  <si>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</si>
  <si>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</si>
  <si>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</si>
  <si>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</si>
  <si>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</si>
  <si>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</si>
  <si>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</si>
  <si>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</si>
  <si>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</si>
  <si>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</si>
  <si>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</si>
  <si>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</si>
  <si>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</si>
  <si>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</si>
  <si>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</si>
  <si>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</si>
  <si>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</si>
  <si>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t>220V 60W Electric Soldering Iron Kits With Tools Tips And Multimeter</t>
  </si>
  <si>
    <t>4pcs Bathroom/Kitchen Towel RackRoll Paper HolderTowel BarsHook</t>
  </si>
  <si>
    <t>LED Romantic Spaceship Starry Sky ProjectorChildren's Bedroom Night Light-Blue</t>
  </si>
  <si>
    <t>LED Eye Protection  Desk Lamp  Study Reading USB Fan - Double Pen Holder</t>
  </si>
  <si>
    <t>DIY File Folder Office Drawer File Holder Pen Holder Desktop Storage Rack</t>
  </si>
  <si>
    <t>1/2/3 Seater Elastic Sofa CoverLiving Room/Home Decor Chair Cover-Grey</t>
  </si>
  <si>
    <t>Balloon Insert Birthday Party Balloon Set PU Leather</t>
  </si>
  <si>
    <t>7-piece Set Of Storage Bags Travel Storage Bags Shoe Bags</t>
  </si>
  <si>
    <t>Electric LED UV Mosquito Killer Lamp Outdoor/Indoor Fly Killer Trap Light -USB</t>
  </si>
  <si>
    <t>Memory Foam Neck Pillow Cover With Pillow Core - 50*30cm</t>
  </si>
  <si>
    <t>Konka Healty Electric Kettle 24-hour Heat Preservation1.5L800W White</t>
  </si>
  <si>
    <t>9pcs Gas Mask For Painting Dust Formaldehyde Grinding Polishing</t>
  </si>
  <si>
    <t>Discount Amount</t>
  </si>
  <si>
    <t>Rating Category</t>
  </si>
  <si>
    <t>Discount category</t>
  </si>
  <si>
    <t>Row Labels</t>
  </si>
  <si>
    <t>Grand Total</t>
  </si>
  <si>
    <t>Sum of Review</t>
  </si>
  <si>
    <t>Sum of Rating</t>
  </si>
  <si>
    <t>Average of Rating</t>
  </si>
  <si>
    <t>Average of Discount</t>
  </si>
  <si>
    <t>Count of Product</t>
  </si>
  <si>
    <t>Sum of Discount</t>
  </si>
  <si>
    <t>Price range</t>
  </si>
  <si>
    <t>Average of Review</t>
  </si>
  <si>
    <t>0.0170585523282619-0.107058552328262</t>
  </si>
  <si>
    <t>0.107058552328262-0.197058552328262</t>
  </si>
  <si>
    <t>0.197058552328262-0.287058552328262</t>
  </si>
  <si>
    <t>0.287058552328262-0.377058552328262</t>
  </si>
  <si>
    <t>0.377058552328262-0.467058552328262</t>
  </si>
  <si>
    <t>0.467058552328262-0.557058552328262</t>
  </si>
  <si>
    <t>0.557058552328262-0.647058552328262</t>
  </si>
  <si>
    <t>0-10</t>
  </si>
  <si>
    <t>10-20</t>
  </si>
  <si>
    <t>20-30</t>
  </si>
  <si>
    <t>30-40</t>
  </si>
  <si>
    <t>40-50</t>
  </si>
  <si>
    <t>50-60</t>
  </si>
  <si>
    <t>60-70</t>
  </si>
  <si>
    <t>2-3</t>
  </si>
  <si>
    <t>3-4</t>
  </si>
  <si>
    <t>4-5</t>
  </si>
  <si>
    <t>High Discount</t>
  </si>
  <si>
    <t>Low discount</t>
  </si>
  <si>
    <t>Medium Discount</t>
  </si>
  <si>
    <t>What is the average current price, old price, discount percentage, and rating?</t>
  </si>
  <si>
    <t>Which product is the most expensive and which is the least expensive?</t>
  </si>
  <si>
    <t>most expensive   &gt;&gt;</t>
  </si>
  <si>
    <t xml:space="preserve">least expensive  &gt;&gt; </t>
  </si>
  <si>
    <t>What is the average rating and discount by discount category?</t>
  </si>
  <si>
    <t>How are products distributed across rating categories?</t>
  </si>
  <si>
    <t>The relationship between discount percentage and number of reviews</t>
  </si>
  <si>
    <t>The relationship between rating and number of reviews</t>
  </si>
  <si>
    <t>most low discount items seem to have litle to no reviews</t>
  </si>
  <si>
    <t>High rating &gt;&gt; less reviews</t>
  </si>
  <si>
    <t>low rating  &gt;&gt; many reviews.</t>
  </si>
  <si>
    <t>Whether higher discounts lead to increased customer engagement</t>
  </si>
  <si>
    <t>Low engagements on higher discount products</t>
  </si>
  <si>
    <t>Whether higher-rated products tend to have more reviews</t>
  </si>
  <si>
    <t>High rated products have less reviews</t>
  </si>
  <si>
    <t>calculated on Excel_jumia</t>
  </si>
  <si>
    <t>The top 10 products with the highest discounts</t>
  </si>
  <si>
    <t>The top 10 products with the most reviews</t>
  </si>
  <si>
    <t>The top 5 highest-rated and bottom 5 lowest-rated products</t>
  </si>
  <si>
    <t>A comparison between high-discount and low-discount products based on average rating and number of reviews</t>
  </si>
  <si>
    <t>conditional formatted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</si>
</sst>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Ksh&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6" fillId="0" borderId="0" xfId="0" applyFont="1"/>
    <xf numFmtId="164" fontId="16" fillId="0" borderId="0" xfId="0" applyNumberFormat="1" applyFont="1"/>
    <xf numFmtId="10" fontId="16" fillId="0" borderId="0" xfId="0" applyNumberFormat="1" applyFont="1"/>
    <xf numFmtId="10" fontId="0" fillId="0" borderId="0" xfId="0" applyNumberFormat="1"/>
    <xf numFmtId="10" fontId="0" fillId="0" borderId="0" xfId="1" applyNumberFormat="1" applyFont="1"/>
    <xf numFmtId="0" fontId="0" fillId="0" borderId="0" xfId="0" pivotButton="1"/>
    <xf numFmtId="10" fontId="0" fillId="0" borderId="0" xfId="0" applyNumberFormat="1" applyAlignment="1">
      <alignment horizontal="left"/>
    </xf>
    <xf numFmtId="0" fontId="0" fillId="0" borderId="0" xfId="0" applyAlignment="1">
      <alignment horizontal="left"/>
    </xf>
    <xf numFmtId="0" fontId="0" fillId="33" borderId="0" xfId="0" applyFill="1"/>
    <xf numFmtId="0" fontId="0" fillId="0" borderId="0" xfId="0" applyNumberFormat="1"/>
    <xf numFmtId="0" fontId="0" fillId="34"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0">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(Recovered).xlsx]productsbyrating!PivotTable4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Products</a:t>
            </a:r>
            <a:r>
              <a:rPr lang="en-US" b="1" baseline="0">
                <a:solidFill>
                  <a:schemeClr val="accent1"/>
                </a:solidFill>
              </a:rPr>
              <a:t> by rating category</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productsbyrating!$B$3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productsbyrating!$A$4:$A$7</c:f>
              <c:strCache>
                <c:ptCount val="3"/>
                <c:pt idx="0">
                  <c:v>2-3</c:v>
                </c:pt>
                <c:pt idx="1">
                  <c:v>3-4</c:v>
                </c:pt>
                <c:pt idx="2">
                  <c:v>4-5</c:v>
                </c:pt>
              </c:strCache>
            </c:strRef>
          </c:cat>
          <c:val>
            <c:numRef>
              <c:f>productsbyrating!$B$4:$B$7</c:f>
              <c:numCache>
                <c:formatCode>General</c:formatCode>
                <c:ptCount val="3"/>
                <c:pt idx="0">
                  <c:v>12</c:v>
                </c:pt>
                <c:pt idx="1">
                  <c:v>61</c:v>
                </c:pt>
                <c:pt idx="2">
                  <c:v>36</c:v>
                </c:pt>
              </c:numCache>
            </c:numRef>
          </c:val>
          <c:extLst>
            <c:ext xmlns:c16="http://schemas.microsoft.com/office/drawing/2014/chart" uri="{C3380CC4-5D6E-409C-BE32-E72D297353CC}">
              <c16:uniqueId val="{00000000-D464-4DA1-AFA3-A37CF500F75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(Recovered).xlsx]nofReviews!PivotTable1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a:t>
            </a:r>
            <a:r>
              <a:rPr lang="en-GB" baseline="0"/>
              <a:t> Number of Reviews.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nofReviews!$B$3</c:f>
              <c:strCache>
                <c:ptCount val="1"/>
                <c:pt idx="0">
                  <c:v>Total</c:v>
                </c:pt>
              </c:strCache>
            </c:strRef>
          </c:tx>
          <c:spPr>
            <a:ln w="28575" cap="rnd">
              <a:solidFill>
                <a:schemeClr val="accent1"/>
              </a:solidFill>
              <a:round/>
            </a:ln>
            <a:effectLst/>
          </c:spPr>
          <c:marker>
            <c:symbol val="none"/>
          </c:marker>
          <c:cat>
            <c:strRef>
              <c:f>nofReviews!$A$4:$A$11</c:f>
              <c:strCache>
                <c:ptCount val="7"/>
                <c:pt idx="0">
                  <c:v>0.0170585523282619-0.107058552328262</c:v>
                </c:pt>
                <c:pt idx="1">
                  <c:v>0.107058552328262-0.197058552328262</c:v>
                </c:pt>
                <c:pt idx="2">
                  <c:v>0.197058552328262-0.287058552328262</c:v>
                </c:pt>
                <c:pt idx="3">
                  <c:v>0.287058552328262-0.377058552328262</c:v>
                </c:pt>
                <c:pt idx="4">
                  <c:v>0.377058552328262-0.467058552328262</c:v>
                </c:pt>
                <c:pt idx="5">
                  <c:v>0.467058552328262-0.557058552328262</c:v>
                </c:pt>
                <c:pt idx="6">
                  <c:v>0.557058552328262-0.647058552328262</c:v>
                </c:pt>
              </c:strCache>
            </c:strRef>
          </c:cat>
          <c:val>
            <c:numRef>
              <c:f>nofReviews!$B$4:$B$11</c:f>
              <c:numCache>
                <c:formatCode>General</c:formatCode>
                <c:ptCount val="7"/>
                <c:pt idx="0">
                  <c:v>39</c:v>
                </c:pt>
                <c:pt idx="1">
                  <c:v>5</c:v>
                </c:pt>
                <c:pt idx="2">
                  <c:v>192</c:v>
                </c:pt>
                <c:pt idx="3">
                  <c:v>111</c:v>
                </c:pt>
                <c:pt idx="4">
                  <c:v>164</c:v>
                </c:pt>
                <c:pt idx="5">
                  <c:v>206</c:v>
                </c:pt>
                <c:pt idx="6">
                  <c:v>6</c:v>
                </c:pt>
              </c:numCache>
            </c:numRef>
          </c:val>
          <c:smooth val="0"/>
          <c:extLst>
            <c:ext xmlns:c16="http://schemas.microsoft.com/office/drawing/2014/chart" uri="{C3380CC4-5D6E-409C-BE32-E72D297353CC}">
              <c16:uniqueId val="{00000000-375A-46FB-9B1E-46FCB2DEC900}"/>
            </c:ext>
          </c:extLst>
        </c:ser>
        <c:dLbls>
          <c:showLegendKey val="0"/>
          <c:showVal val="0"/>
          <c:showCatName val="0"/>
          <c:showSerName val="0"/>
          <c:showPercent val="0"/>
          <c:showBubbleSize val="0"/>
        </c:dLbls>
        <c:smooth val="0"/>
        <c:axId val="914971408"/>
        <c:axId val="914973328"/>
      </c:lineChart>
      <c:catAx>
        <c:axId val="91497140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14973328"/>
        <c:crosses val="autoZero"/>
        <c:auto val="1"/>
        <c:lblAlgn val="ctr"/>
        <c:lblOffset val="100"/>
        <c:noMultiLvlLbl val="0"/>
      </c:catAx>
      <c:valAx>
        <c:axId val="91497332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1497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(Recovered).xlsx]avgrating!PivotTable1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Rating</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avgrating!$B$3</c:f>
              <c:strCache>
                <c:ptCount val="1"/>
                <c:pt idx="0">
                  <c:v>Total</c:v>
                </c:pt>
              </c:strCache>
            </c:strRef>
          </c:tx>
          <c:spPr>
            <a:solidFill>
              <a:schemeClr val="accent1"/>
            </a:solidFill>
            <a:ln>
              <a:noFill/>
            </a:ln>
            <a:effectLst/>
          </c:spPr>
          <c:invertIfNegative val="0"/>
          <c:cat>
            <c:strRef>
              <c:f>avgrating!$A$4:$A$11</c:f>
              <c:strCache>
                <c:ptCount val="7"/>
                <c:pt idx="0">
                  <c:v>0.0170585523282619-0.107058552328262</c:v>
                </c:pt>
                <c:pt idx="1">
                  <c:v>0.107058552328262-0.197058552328262</c:v>
                </c:pt>
                <c:pt idx="2">
                  <c:v>0.197058552328262-0.287058552328262</c:v>
                </c:pt>
                <c:pt idx="3">
                  <c:v>0.287058552328262-0.377058552328262</c:v>
                </c:pt>
                <c:pt idx="4">
                  <c:v>0.377058552328262-0.467058552328262</c:v>
                </c:pt>
                <c:pt idx="5">
                  <c:v>0.467058552328262-0.557058552328262</c:v>
                </c:pt>
                <c:pt idx="6">
                  <c:v>0.557058552328262-0.647058552328262</c:v>
                </c:pt>
              </c:strCache>
            </c:strRef>
          </c:cat>
          <c:val>
            <c:numRef>
              <c:f>avgrating!$B$4:$B$11</c:f>
              <c:numCache>
                <c:formatCode>General</c:formatCode>
                <c:ptCount val="7"/>
                <c:pt idx="0">
                  <c:v>3.3714285714285714</c:v>
                </c:pt>
                <c:pt idx="1">
                  <c:v>3.9142857142857146</c:v>
                </c:pt>
                <c:pt idx="2">
                  <c:v>4.1357142857142852</c:v>
                </c:pt>
                <c:pt idx="3">
                  <c:v>4.0105263157894724</c:v>
                </c:pt>
                <c:pt idx="4">
                  <c:v>3.8076923076923066</c:v>
                </c:pt>
                <c:pt idx="5">
                  <c:v>3.7971428571428567</c:v>
                </c:pt>
                <c:pt idx="6">
                  <c:v>2.2999999999999998</c:v>
                </c:pt>
              </c:numCache>
            </c:numRef>
          </c:val>
          <c:extLst>
            <c:ext xmlns:c16="http://schemas.microsoft.com/office/drawing/2014/chart" uri="{C3380CC4-5D6E-409C-BE32-E72D297353CC}">
              <c16:uniqueId val="{00000000-9C70-47CA-BBB8-A0E7AE5D7929}"/>
            </c:ext>
          </c:extLst>
        </c:ser>
        <c:dLbls>
          <c:showLegendKey val="0"/>
          <c:showVal val="0"/>
          <c:showCatName val="0"/>
          <c:showSerName val="0"/>
          <c:showPercent val="0"/>
          <c:showBubbleSize val="0"/>
        </c:dLbls>
        <c:gapWidth val="219"/>
        <c:overlap val="-27"/>
        <c:axId val="202861584"/>
        <c:axId val="202862064"/>
      </c:barChart>
      <c:catAx>
        <c:axId val="20286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2862064"/>
        <c:crosses val="autoZero"/>
        <c:auto val="1"/>
        <c:lblAlgn val="ctr"/>
        <c:lblOffset val="100"/>
        <c:noMultiLvlLbl val="0"/>
      </c:catAx>
      <c:valAx>
        <c:axId val="2028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286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(Recovered).xlsx]numproducts!PivotTable3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1"/>
                </a:solidFill>
              </a:rPr>
              <a:t>Total number of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numproducts!$B$3</c:f>
              <c:strCache>
                <c:ptCount val="1"/>
                <c:pt idx="0">
                  <c:v>Total</c:v>
                </c:pt>
              </c:strCache>
            </c:strRef>
          </c:tx>
          <c:spPr>
            <a:ln w="28575" cap="rnd">
              <a:solidFill>
                <a:schemeClr val="accent1"/>
              </a:solidFill>
              <a:round/>
            </a:ln>
            <a:effectLst/>
          </c:spPr>
          <c:marker>
            <c:symbol val="none"/>
          </c:marker>
          <c:cat>
            <c:strRef>
              <c:f>numproducts!$A$4:$A$11</c:f>
              <c:strCache>
                <c:ptCount val="7"/>
                <c:pt idx="0">
                  <c:v>0.0170585523282619-0.107058552328262</c:v>
                </c:pt>
                <c:pt idx="1">
                  <c:v>0.107058552328262-0.197058552328262</c:v>
                </c:pt>
                <c:pt idx="2">
                  <c:v>0.197058552328262-0.287058552328262</c:v>
                </c:pt>
                <c:pt idx="3">
                  <c:v>0.287058552328262-0.377058552328262</c:v>
                </c:pt>
                <c:pt idx="4">
                  <c:v>0.377058552328262-0.467058552328262</c:v>
                </c:pt>
                <c:pt idx="5">
                  <c:v>0.467058552328262-0.557058552328262</c:v>
                </c:pt>
                <c:pt idx="6">
                  <c:v>0.557058552328262-0.647058552328262</c:v>
                </c:pt>
              </c:strCache>
            </c:strRef>
          </c:cat>
          <c:val>
            <c:numRef>
              <c:f>numproducts!$B$4:$B$11</c:f>
              <c:numCache>
                <c:formatCode>General</c:formatCode>
                <c:ptCount val="7"/>
                <c:pt idx="0">
                  <c:v>7</c:v>
                </c:pt>
                <c:pt idx="1">
                  <c:v>7</c:v>
                </c:pt>
                <c:pt idx="2">
                  <c:v>14</c:v>
                </c:pt>
                <c:pt idx="3">
                  <c:v>19</c:v>
                </c:pt>
                <c:pt idx="4">
                  <c:v>26</c:v>
                </c:pt>
                <c:pt idx="5">
                  <c:v>35</c:v>
                </c:pt>
                <c:pt idx="6">
                  <c:v>1</c:v>
                </c:pt>
              </c:numCache>
            </c:numRef>
          </c:val>
          <c:smooth val="0"/>
          <c:extLst>
            <c:ext xmlns:c16="http://schemas.microsoft.com/office/drawing/2014/chart" uri="{C3380CC4-5D6E-409C-BE32-E72D297353CC}">
              <c16:uniqueId val="{00000000-EBE1-49E5-8960-BC6A632BA9EF}"/>
            </c:ext>
          </c:extLst>
        </c:ser>
        <c:dLbls>
          <c:showLegendKey val="0"/>
          <c:showVal val="0"/>
          <c:showCatName val="0"/>
          <c:showSerName val="0"/>
          <c:showPercent val="0"/>
          <c:showBubbleSize val="0"/>
        </c:dLbls>
        <c:smooth val="0"/>
        <c:axId val="641406304"/>
        <c:axId val="641406784"/>
      </c:lineChart>
      <c:catAx>
        <c:axId val="64140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406784"/>
        <c:crosses val="autoZero"/>
        <c:auto val="1"/>
        <c:lblAlgn val="ctr"/>
        <c:lblOffset val="100"/>
        <c:noMultiLvlLbl val="0"/>
      </c:catAx>
      <c:valAx>
        <c:axId val="64140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40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(Recovered).xlsx]toprating!PivotTable4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1"/>
                </a:solidFill>
              </a:rPr>
              <a:t>Top</a:t>
            </a:r>
            <a:r>
              <a:rPr lang="en-GB" b="1" baseline="0">
                <a:solidFill>
                  <a:schemeClr val="accent1"/>
                </a:solidFill>
              </a:rPr>
              <a:t> product by Rating</a:t>
            </a:r>
            <a:endParaRPr lang="en-GB"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toprating!$B$3</c:f>
              <c:strCache>
                <c:ptCount val="1"/>
                <c:pt idx="0">
                  <c:v>Total</c:v>
                </c:pt>
              </c:strCache>
            </c:strRef>
          </c:tx>
          <c:spPr>
            <a:solidFill>
              <a:schemeClr val="accent1"/>
            </a:solidFill>
            <a:ln>
              <a:noFill/>
            </a:ln>
            <a:effectLst/>
          </c:spPr>
          <c:invertIfNegative val="0"/>
          <c:cat>
            <c:strRef>
              <c:f>toprating!$A$4:$A$14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toprating!$B$4:$B$14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33AB-4E2F-8CCD-1A083B9000D2}"/>
            </c:ext>
          </c:extLst>
        </c:ser>
        <c:dLbls>
          <c:showLegendKey val="0"/>
          <c:showVal val="0"/>
          <c:showCatName val="0"/>
          <c:showSerName val="0"/>
          <c:showPercent val="0"/>
          <c:showBubbleSize val="0"/>
        </c:dLbls>
        <c:gapWidth val="182"/>
        <c:axId val="641361664"/>
        <c:axId val="641364544"/>
      </c:barChart>
      <c:catAx>
        <c:axId val="64136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364544"/>
        <c:crosses val="autoZero"/>
        <c:auto val="1"/>
        <c:lblAlgn val="ctr"/>
        <c:lblOffset val="100"/>
        <c:noMultiLvlLbl val="0"/>
      </c:catAx>
      <c:valAx>
        <c:axId val="641364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36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(Recovered).xlsx]topprodreview!PivotTable5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1"/>
                </a:solidFill>
              </a:rPr>
              <a:t>Top product by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topprodreview!$B$3</c:f>
              <c:strCache>
                <c:ptCount val="1"/>
                <c:pt idx="0">
                  <c:v>Total</c:v>
                </c:pt>
              </c:strCache>
            </c:strRef>
          </c:tx>
          <c:spPr>
            <a:solidFill>
              <a:schemeClr val="accent1"/>
            </a:solidFill>
            <a:ln>
              <a:noFill/>
            </a:ln>
            <a:effectLst/>
          </c:spPr>
          <c:invertIfNegative val="0"/>
          <c:cat>
            <c:strRef>
              <c:f>topprodreview!$A$4:$A$9</c:f>
              <c:strCache>
                <c:ptCount val="5"/>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Electronic Digital Display Vernier Caliper</c:v>
                </c:pt>
              </c:strCache>
            </c:strRef>
          </c:cat>
          <c:val>
            <c:numRef>
              <c:f>topprodreview!$B$4:$B$9</c:f>
              <c:numCache>
                <c:formatCode>General</c:formatCode>
                <c:ptCount val="5"/>
                <c:pt idx="0">
                  <c:v>39</c:v>
                </c:pt>
                <c:pt idx="1">
                  <c:v>69</c:v>
                </c:pt>
                <c:pt idx="2">
                  <c:v>55</c:v>
                </c:pt>
                <c:pt idx="3">
                  <c:v>44</c:v>
                </c:pt>
                <c:pt idx="4">
                  <c:v>49</c:v>
                </c:pt>
              </c:numCache>
            </c:numRef>
          </c:val>
          <c:extLst>
            <c:ext xmlns:c16="http://schemas.microsoft.com/office/drawing/2014/chart" uri="{C3380CC4-5D6E-409C-BE32-E72D297353CC}">
              <c16:uniqueId val="{00000000-C664-4A6C-9824-D8E982CD491D}"/>
            </c:ext>
          </c:extLst>
        </c:ser>
        <c:dLbls>
          <c:showLegendKey val="0"/>
          <c:showVal val="0"/>
          <c:showCatName val="0"/>
          <c:showSerName val="0"/>
          <c:showPercent val="0"/>
          <c:showBubbleSize val="0"/>
        </c:dLbls>
        <c:gapWidth val="182"/>
        <c:axId val="641365984"/>
        <c:axId val="641366464"/>
      </c:barChart>
      <c:catAx>
        <c:axId val="64136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366464"/>
        <c:crosses val="autoZero"/>
        <c:auto val="1"/>
        <c:lblAlgn val="ctr"/>
        <c:lblOffset val="100"/>
        <c:noMultiLvlLbl val="0"/>
      </c:catAx>
      <c:valAx>
        <c:axId val="64136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36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(Recovered).xlsx]Avgdiscount%!PivotTable2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Average</a:t>
            </a:r>
            <a:r>
              <a:rPr lang="en-US" b="1" baseline="0">
                <a:solidFill>
                  <a:schemeClr val="accent1"/>
                </a:solidFill>
              </a:rPr>
              <a:t> Discount %</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'Avgdiscount%'!$B$3</c:f>
              <c:strCache>
                <c:ptCount val="1"/>
                <c:pt idx="0">
                  <c:v>Total</c:v>
                </c:pt>
              </c:strCache>
            </c:strRef>
          </c:tx>
          <c:spPr>
            <a:solidFill>
              <a:schemeClr val="accent1"/>
            </a:solidFill>
            <a:ln>
              <a:noFill/>
            </a:ln>
            <a:effectLst/>
          </c:spPr>
          <c:invertIfNegative val="0"/>
          <c:cat>
            <c:strRef>
              <c:f>'Avgdiscount%'!$A$4:$A$11</c:f>
              <c:strCache>
                <c:ptCount val="7"/>
                <c:pt idx="0">
                  <c:v>0.0170585523282619-0.107058552328262</c:v>
                </c:pt>
                <c:pt idx="1">
                  <c:v>0.107058552328262-0.197058552328262</c:v>
                </c:pt>
                <c:pt idx="2">
                  <c:v>0.197058552328262-0.287058552328262</c:v>
                </c:pt>
                <c:pt idx="3">
                  <c:v>0.287058552328262-0.377058552328262</c:v>
                </c:pt>
                <c:pt idx="4">
                  <c:v>0.377058552328262-0.467058552328262</c:v>
                </c:pt>
                <c:pt idx="5">
                  <c:v>0.467058552328262-0.557058552328262</c:v>
                </c:pt>
                <c:pt idx="6">
                  <c:v>0.557058552328262-0.647058552328262</c:v>
                </c:pt>
              </c:strCache>
            </c:strRef>
          </c:cat>
          <c:val>
            <c:numRef>
              <c:f>'Avgdiscount%'!$B$4:$B$11</c:f>
              <c:numCache>
                <c:formatCode>0.00%</c:formatCode>
                <c:ptCount val="7"/>
                <c:pt idx="0">
                  <c:v>4.2894783820756253E-2</c:v>
                </c:pt>
                <c:pt idx="1">
                  <c:v>0.15394612844208358</c:v>
                </c:pt>
                <c:pt idx="2">
                  <c:v>0.23985992101026415</c:v>
                </c:pt>
                <c:pt idx="3">
                  <c:v>0.3448981117045693</c:v>
                </c:pt>
                <c:pt idx="4">
                  <c:v>0.43314326262991681</c:v>
                </c:pt>
                <c:pt idx="5">
                  <c:v>0.50268443247078121</c:v>
                </c:pt>
                <c:pt idx="6">
                  <c:v>0.60515873015873012</c:v>
                </c:pt>
              </c:numCache>
            </c:numRef>
          </c:val>
          <c:extLst>
            <c:ext xmlns:c16="http://schemas.microsoft.com/office/drawing/2014/chart" uri="{C3380CC4-5D6E-409C-BE32-E72D297353CC}">
              <c16:uniqueId val="{00000000-EDE7-46E8-9877-FCAD8BBDDC9B}"/>
            </c:ext>
          </c:extLst>
        </c:ser>
        <c:dLbls>
          <c:showLegendKey val="0"/>
          <c:showVal val="0"/>
          <c:showCatName val="0"/>
          <c:showSerName val="0"/>
          <c:showPercent val="0"/>
          <c:showBubbleSize val="0"/>
        </c:dLbls>
        <c:gapWidth val="182"/>
        <c:axId val="641396224"/>
        <c:axId val="641381344"/>
      </c:barChart>
      <c:catAx>
        <c:axId val="64139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381344"/>
        <c:crosses val="autoZero"/>
        <c:auto val="1"/>
        <c:lblAlgn val="ctr"/>
        <c:lblOffset val="100"/>
        <c:noMultiLvlLbl val="0"/>
      </c:catAx>
      <c:valAx>
        <c:axId val="6413813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39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(Recovered).xlsx]topbydiscount!PivotTable7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Top</a:t>
            </a:r>
            <a:r>
              <a:rPr lang="en-US" b="1" baseline="0">
                <a:solidFill>
                  <a:schemeClr val="accent1"/>
                </a:solidFill>
              </a:rPr>
              <a:t> Product by Discount %</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topbydiscount!$B$3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CE-4597-93E4-1395D018A6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CE-4597-93E4-1395D018A6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CE-4597-93E4-1395D018A6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CE-4597-93E4-1395D018A63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CE-4597-93E4-1395D018A63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6D0-4D98-8466-D1C032E6A3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topbydiscount!$A$4:$A$9</c:f>
              <c:strCache>
                <c:ptCount val="5"/>
                <c:pt idx="0">
                  <c:v>60W Hot Melt Glue Sprayer - Efficient And Stable Glue Dispensing</c:v>
                </c:pt>
                <c:pt idx="1">
                  <c:v>Household Pineapple Peeler Peeler</c:v>
                </c:pt>
                <c:pt idx="2">
                  <c:v>LASA FOLDING TABLE SERVING STAND</c:v>
                </c:pt>
                <c:pt idx="3">
                  <c:v>MultiFunctional Storage Rack Multi-layer Bookshelf</c:v>
                </c:pt>
                <c:pt idx="4">
                  <c:v>Watercolour Gold Foil Textured Print Pillow Cover</c:v>
                </c:pt>
              </c:strCache>
            </c:strRef>
          </c:cat>
          <c:val>
            <c:numRef>
              <c:f>topbydiscount!$B$4:$B$9</c:f>
              <c:numCache>
                <c:formatCode>0.00%</c:formatCode>
                <c:ptCount val="5"/>
                <c:pt idx="0">
                  <c:v>0.54488888888888887</c:v>
                </c:pt>
                <c:pt idx="1">
                  <c:v>0.55000000000000004</c:v>
                </c:pt>
                <c:pt idx="2">
                  <c:v>0.54500000000000004</c:v>
                </c:pt>
                <c:pt idx="3">
                  <c:v>0.54500000000000004</c:v>
                </c:pt>
                <c:pt idx="4">
                  <c:v>0.60515873015873012</c:v>
                </c:pt>
              </c:numCache>
            </c:numRef>
          </c:val>
          <c:extLst>
            <c:ext xmlns:c16="http://schemas.microsoft.com/office/drawing/2014/chart" uri="{C3380CC4-5D6E-409C-BE32-E72D297353CC}">
              <c16:uniqueId val="{00000000-4F83-4EF0-848F-8A157702A08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(Recovered).xlsx]nofReviews!PivotTable1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1"/>
                </a:solidFill>
              </a:rPr>
              <a:t>Total</a:t>
            </a:r>
            <a:r>
              <a:rPr lang="en-GB" b="1" baseline="0">
                <a:solidFill>
                  <a:schemeClr val="accent1"/>
                </a:solidFill>
              </a:rPr>
              <a:t> Number of Reviews.</a:t>
            </a:r>
            <a:endParaRPr lang="en-GB"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nofReviews!$B$3</c:f>
              <c:strCache>
                <c:ptCount val="1"/>
                <c:pt idx="0">
                  <c:v>Total</c:v>
                </c:pt>
              </c:strCache>
            </c:strRef>
          </c:tx>
          <c:spPr>
            <a:ln w="28575" cap="rnd">
              <a:solidFill>
                <a:schemeClr val="accent1"/>
              </a:solidFill>
              <a:round/>
            </a:ln>
            <a:effectLst/>
          </c:spPr>
          <c:marker>
            <c:symbol val="none"/>
          </c:marker>
          <c:cat>
            <c:strRef>
              <c:f>nofReviews!$A$4:$A$11</c:f>
              <c:strCache>
                <c:ptCount val="7"/>
                <c:pt idx="0">
                  <c:v>0.0170585523282619-0.107058552328262</c:v>
                </c:pt>
                <c:pt idx="1">
                  <c:v>0.107058552328262-0.197058552328262</c:v>
                </c:pt>
                <c:pt idx="2">
                  <c:v>0.197058552328262-0.287058552328262</c:v>
                </c:pt>
                <c:pt idx="3">
                  <c:v>0.287058552328262-0.377058552328262</c:v>
                </c:pt>
                <c:pt idx="4">
                  <c:v>0.377058552328262-0.467058552328262</c:v>
                </c:pt>
                <c:pt idx="5">
                  <c:v>0.467058552328262-0.557058552328262</c:v>
                </c:pt>
                <c:pt idx="6">
                  <c:v>0.557058552328262-0.647058552328262</c:v>
                </c:pt>
              </c:strCache>
            </c:strRef>
          </c:cat>
          <c:val>
            <c:numRef>
              <c:f>nofReviews!$B$4:$B$11</c:f>
              <c:numCache>
                <c:formatCode>General</c:formatCode>
                <c:ptCount val="7"/>
                <c:pt idx="0">
                  <c:v>39</c:v>
                </c:pt>
                <c:pt idx="1">
                  <c:v>5</c:v>
                </c:pt>
                <c:pt idx="2">
                  <c:v>192</c:v>
                </c:pt>
                <c:pt idx="3">
                  <c:v>111</c:v>
                </c:pt>
                <c:pt idx="4">
                  <c:v>164</c:v>
                </c:pt>
                <c:pt idx="5">
                  <c:v>206</c:v>
                </c:pt>
                <c:pt idx="6">
                  <c:v>6</c:v>
                </c:pt>
              </c:numCache>
            </c:numRef>
          </c:val>
          <c:smooth val="0"/>
          <c:extLst>
            <c:ext xmlns:c16="http://schemas.microsoft.com/office/drawing/2014/chart" uri="{C3380CC4-5D6E-409C-BE32-E72D297353CC}">
              <c16:uniqueId val="{00000000-06D2-404B-8BA7-F4018B86C2A7}"/>
            </c:ext>
          </c:extLst>
        </c:ser>
        <c:dLbls>
          <c:showLegendKey val="0"/>
          <c:showVal val="0"/>
          <c:showCatName val="0"/>
          <c:showSerName val="0"/>
          <c:showPercent val="0"/>
          <c:showBubbleSize val="0"/>
        </c:dLbls>
        <c:smooth val="0"/>
        <c:axId val="914971408"/>
        <c:axId val="914973328"/>
      </c:lineChart>
      <c:catAx>
        <c:axId val="91497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14973328"/>
        <c:crosses val="autoZero"/>
        <c:auto val="1"/>
        <c:lblAlgn val="ctr"/>
        <c:lblOffset val="100"/>
        <c:noMultiLvlLbl val="0"/>
      </c:catAx>
      <c:valAx>
        <c:axId val="914973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1497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(Recovered).xlsx]Avgdiscount%!PivotTable2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Average</a:t>
            </a:r>
            <a:r>
              <a:rPr lang="en-US" b="1" baseline="0">
                <a:solidFill>
                  <a:schemeClr val="accent1"/>
                </a:solidFill>
              </a:rPr>
              <a:t> Discount %</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'Avgdiscount%'!$B$3</c:f>
              <c:strCache>
                <c:ptCount val="1"/>
                <c:pt idx="0">
                  <c:v>Total</c:v>
                </c:pt>
              </c:strCache>
            </c:strRef>
          </c:tx>
          <c:spPr>
            <a:solidFill>
              <a:schemeClr val="accent1"/>
            </a:solidFill>
            <a:ln>
              <a:noFill/>
            </a:ln>
            <a:effectLst/>
          </c:spPr>
          <c:invertIfNegative val="0"/>
          <c:cat>
            <c:strRef>
              <c:f>'Avgdiscount%'!$A$4:$A$11</c:f>
              <c:strCache>
                <c:ptCount val="7"/>
                <c:pt idx="0">
                  <c:v>0.0170585523282619-0.107058552328262</c:v>
                </c:pt>
                <c:pt idx="1">
                  <c:v>0.107058552328262-0.197058552328262</c:v>
                </c:pt>
                <c:pt idx="2">
                  <c:v>0.197058552328262-0.287058552328262</c:v>
                </c:pt>
                <c:pt idx="3">
                  <c:v>0.287058552328262-0.377058552328262</c:v>
                </c:pt>
                <c:pt idx="4">
                  <c:v>0.377058552328262-0.467058552328262</c:v>
                </c:pt>
                <c:pt idx="5">
                  <c:v>0.467058552328262-0.557058552328262</c:v>
                </c:pt>
                <c:pt idx="6">
                  <c:v>0.557058552328262-0.647058552328262</c:v>
                </c:pt>
              </c:strCache>
            </c:strRef>
          </c:cat>
          <c:val>
            <c:numRef>
              <c:f>'Avgdiscount%'!$B$4:$B$11</c:f>
              <c:numCache>
                <c:formatCode>0.00%</c:formatCode>
                <c:ptCount val="7"/>
                <c:pt idx="0">
                  <c:v>4.2894783820756253E-2</c:v>
                </c:pt>
                <c:pt idx="1">
                  <c:v>0.15394612844208358</c:v>
                </c:pt>
                <c:pt idx="2">
                  <c:v>0.23985992101026415</c:v>
                </c:pt>
                <c:pt idx="3">
                  <c:v>0.3448981117045693</c:v>
                </c:pt>
                <c:pt idx="4">
                  <c:v>0.43314326262991681</c:v>
                </c:pt>
                <c:pt idx="5">
                  <c:v>0.50268443247078121</c:v>
                </c:pt>
                <c:pt idx="6">
                  <c:v>0.60515873015873012</c:v>
                </c:pt>
              </c:numCache>
            </c:numRef>
          </c:val>
          <c:extLst>
            <c:ext xmlns:c16="http://schemas.microsoft.com/office/drawing/2014/chart" uri="{C3380CC4-5D6E-409C-BE32-E72D297353CC}">
              <c16:uniqueId val="{00000000-9D2D-4582-8E87-825CF594CFF9}"/>
            </c:ext>
          </c:extLst>
        </c:ser>
        <c:dLbls>
          <c:showLegendKey val="0"/>
          <c:showVal val="0"/>
          <c:showCatName val="0"/>
          <c:showSerName val="0"/>
          <c:showPercent val="0"/>
          <c:showBubbleSize val="0"/>
        </c:dLbls>
        <c:gapWidth val="182"/>
        <c:axId val="641396224"/>
        <c:axId val="641381344"/>
      </c:barChart>
      <c:catAx>
        <c:axId val="64139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381344"/>
        <c:crosses val="autoZero"/>
        <c:auto val="1"/>
        <c:lblAlgn val="ctr"/>
        <c:lblOffset val="100"/>
        <c:noMultiLvlLbl val="0"/>
      </c:catAx>
      <c:valAx>
        <c:axId val="64138134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39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(Recovered).xlsx]avgrating!PivotTable1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1"/>
                </a:solidFill>
              </a:rPr>
              <a:t>Average</a:t>
            </a:r>
            <a:r>
              <a:rPr lang="en-GB" b="1" baseline="0">
                <a:solidFill>
                  <a:schemeClr val="accent1"/>
                </a:solidFill>
              </a:rPr>
              <a:t> Rating</a:t>
            </a:r>
            <a:endParaRPr lang="en-GB"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avgrating!$B$3</c:f>
              <c:strCache>
                <c:ptCount val="1"/>
                <c:pt idx="0">
                  <c:v>Total</c:v>
                </c:pt>
              </c:strCache>
            </c:strRef>
          </c:tx>
          <c:spPr>
            <a:solidFill>
              <a:schemeClr val="accent1"/>
            </a:solidFill>
            <a:ln>
              <a:noFill/>
            </a:ln>
            <a:effectLst/>
          </c:spPr>
          <c:invertIfNegative val="0"/>
          <c:cat>
            <c:strRef>
              <c:f>avgrating!$A$4:$A$11</c:f>
              <c:strCache>
                <c:ptCount val="7"/>
                <c:pt idx="0">
                  <c:v>0.0170585523282619-0.107058552328262</c:v>
                </c:pt>
                <c:pt idx="1">
                  <c:v>0.107058552328262-0.197058552328262</c:v>
                </c:pt>
                <c:pt idx="2">
                  <c:v>0.197058552328262-0.287058552328262</c:v>
                </c:pt>
                <c:pt idx="3">
                  <c:v>0.287058552328262-0.377058552328262</c:v>
                </c:pt>
                <c:pt idx="4">
                  <c:v>0.377058552328262-0.467058552328262</c:v>
                </c:pt>
                <c:pt idx="5">
                  <c:v>0.467058552328262-0.557058552328262</c:v>
                </c:pt>
                <c:pt idx="6">
                  <c:v>0.557058552328262-0.647058552328262</c:v>
                </c:pt>
              </c:strCache>
            </c:strRef>
          </c:cat>
          <c:val>
            <c:numRef>
              <c:f>avgrating!$B$4:$B$11</c:f>
              <c:numCache>
                <c:formatCode>General</c:formatCode>
                <c:ptCount val="7"/>
                <c:pt idx="0">
                  <c:v>3.3714285714285714</c:v>
                </c:pt>
                <c:pt idx="1">
                  <c:v>3.9142857142857146</c:v>
                </c:pt>
                <c:pt idx="2">
                  <c:v>4.1357142857142852</c:v>
                </c:pt>
                <c:pt idx="3">
                  <c:v>4.0105263157894724</c:v>
                </c:pt>
                <c:pt idx="4">
                  <c:v>3.8076923076923066</c:v>
                </c:pt>
                <c:pt idx="5">
                  <c:v>3.7971428571428567</c:v>
                </c:pt>
                <c:pt idx="6">
                  <c:v>2.2999999999999998</c:v>
                </c:pt>
              </c:numCache>
            </c:numRef>
          </c:val>
          <c:extLst>
            <c:ext xmlns:c16="http://schemas.microsoft.com/office/drawing/2014/chart" uri="{C3380CC4-5D6E-409C-BE32-E72D297353CC}">
              <c16:uniqueId val="{00000000-24C5-4276-BD1D-7B508EBD0860}"/>
            </c:ext>
          </c:extLst>
        </c:ser>
        <c:dLbls>
          <c:showLegendKey val="0"/>
          <c:showVal val="0"/>
          <c:showCatName val="0"/>
          <c:showSerName val="0"/>
          <c:showPercent val="0"/>
          <c:showBubbleSize val="0"/>
        </c:dLbls>
        <c:gapWidth val="219"/>
        <c:overlap val="-27"/>
        <c:axId val="202861584"/>
        <c:axId val="202862064"/>
      </c:barChart>
      <c:catAx>
        <c:axId val="20286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2862064"/>
        <c:crosses val="autoZero"/>
        <c:auto val="1"/>
        <c:lblAlgn val="ctr"/>
        <c:lblOffset val="100"/>
        <c:noMultiLvlLbl val="0"/>
      </c:catAx>
      <c:valAx>
        <c:axId val="2028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286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(Recovered).xlsx]numproducts!PivotTable3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1"/>
                </a:solidFill>
              </a:rPr>
              <a:t>Total number of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numproducts!$B$3</c:f>
              <c:strCache>
                <c:ptCount val="1"/>
                <c:pt idx="0">
                  <c:v>Total</c:v>
                </c:pt>
              </c:strCache>
            </c:strRef>
          </c:tx>
          <c:spPr>
            <a:ln w="28575" cap="rnd">
              <a:solidFill>
                <a:schemeClr val="accent1"/>
              </a:solidFill>
              <a:round/>
            </a:ln>
            <a:effectLst/>
          </c:spPr>
          <c:marker>
            <c:symbol val="none"/>
          </c:marker>
          <c:cat>
            <c:strRef>
              <c:f>numproducts!$A$4:$A$11</c:f>
              <c:strCache>
                <c:ptCount val="7"/>
                <c:pt idx="0">
                  <c:v>0.0170585523282619-0.107058552328262</c:v>
                </c:pt>
                <c:pt idx="1">
                  <c:v>0.107058552328262-0.197058552328262</c:v>
                </c:pt>
                <c:pt idx="2">
                  <c:v>0.197058552328262-0.287058552328262</c:v>
                </c:pt>
                <c:pt idx="3">
                  <c:v>0.287058552328262-0.377058552328262</c:v>
                </c:pt>
                <c:pt idx="4">
                  <c:v>0.377058552328262-0.467058552328262</c:v>
                </c:pt>
                <c:pt idx="5">
                  <c:v>0.467058552328262-0.557058552328262</c:v>
                </c:pt>
                <c:pt idx="6">
                  <c:v>0.557058552328262-0.647058552328262</c:v>
                </c:pt>
              </c:strCache>
            </c:strRef>
          </c:cat>
          <c:val>
            <c:numRef>
              <c:f>numproducts!$B$4:$B$11</c:f>
              <c:numCache>
                <c:formatCode>General</c:formatCode>
                <c:ptCount val="7"/>
                <c:pt idx="0">
                  <c:v>7</c:v>
                </c:pt>
                <c:pt idx="1">
                  <c:v>7</c:v>
                </c:pt>
                <c:pt idx="2">
                  <c:v>14</c:v>
                </c:pt>
                <c:pt idx="3">
                  <c:v>19</c:v>
                </c:pt>
                <c:pt idx="4">
                  <c:v>26</c:v>
                </c:pt>
                <c:pt idx="5">
                  <c:v>35</c:v>
                </c:pt>
                <c:pt idx="6">
                  <c:v>1</c:v>
                </c:pt>
              </c:numCache>
            </c:numRef>
          </c:val>
          <c:smooth val="0"/>
          <c:extLst>
            <c:ext xmlns:c16="http://schemas.microsoft.com/office/drawing/2014/chart" uri="{C3380CC4-5D6E-409C-BE32-E72D297353CC}">
              <c16:uniqueId val="{00000000-859B-4093-845C-D72038F55CEC}"/>
            </c:ext>
          </c:extLst>
        </c:ser>
        <c:dLbls>
          <c:showLegendKey val="0"/>
          <c:showVal val="0"/>
          <c:showCatName val="0"/>
          <c:showSerName val="0"/>
          <c:showPercent val="0"/>
          <c:showBubbleSize val="0"/>
        </c:dLbls>
        <c:smooth val="0"/>
        <c:axId val="641406304"/>
        <c:axId val="641406784"/>
      </c:lineChart>
      <c:catAx>
        <c:axId val="64140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406784"/>
        <c:crosses val="autoZero"/>
        <c:auto val="1"/>
        <c:lblAlgn val="ctr"/>
        <c:lblOffset val="100"/>
        <c:noMultiLvlLbl val="0"/>
      </c:catAx>
      <c:valAx>
        <c:axId val="641406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40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(Recovered).xlsx]toprating!PivotTable4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1"/>
                </a:solidFill>
              </a:rPr>
              <a:t>Top</a:t>
            </a:r>
            <a:r>
              <a:rPr lang="en-GB" b="1" baseline="0">
                <a:solidFill>
                  <a:schemeClr val="accent1"/>
                </a:solidFill>
              </a:rPr>
              <a:t> product by Rating</a:t>
            </a:r>
            <a:endParaRPr lang="en-GB"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toprating!$B$3</c:f>
              <c:strCache>
                <c:ptCount val="1"/>
                <c:pt idx="0">
                  <c:v>Total</c:v>
                </c:pt>
              </c:strCache>
            </c:strRef>
          </c:tx>
          <c:spPr>
            <a:solidFill>
              <a:schemeClr val="accent1"/>
            </a:solidFill>
            <a:ln>
              <a:noFill/>
            </a:ln>
            <a:effectLst/>
          </c:spPr>
          <c:invertIfNegative val="0"/>
          <c:cat>
            <c:strRef>
              <c:f>toprating!$A$4:$A$14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toprating!$B$4:$B$14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C95E-40F2-9E01-E0B4A4C8E351}"/>
            </c:ext>
          </c:extLst>
        </c:ser>
        <c:dLbls>
          <c:showLegendKey val="0"/>
          <c:showVal val="0"/>
          <c:showCatName val="0"/>
          <c:showSerName val="0"/>
          <c:showPercent val="0"/>
          <c:showBubbleSize val="0"/>
        </c:dLbls>
        <c:gapWidth val="182"/>
        <c:axId val="641361664"/>
        <c:axId val="641364544"/>
      </c:barChart>
      <c:catAx>
        <c:axId val="641361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364544"/>
        <c:crosses val="autoZero"/>
        <c:auto val="1"/>
        <c:lblAlgn val="ctr"/>
        <c:lblOffset val="100"/>
        <c:noMultiLvlLbl val="0"/>
      </c:catAx>
      <c:valAx>
        <c:axId val="641364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36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(Recovered).xlsx]topbydiscount!PivotTable7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Top</a:t>
            </a:r>
            <a:r>
              <a:rPr lang="en-US" b="1" baseline="0">
                <a:solidFill>
                  <a:schemeClr val="accent1"/>
                </a:solidFill>
              </a:rPr>
              <a:t> Product by Discount %</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doughnutChart>
        <c:varyColors val="1"/>
        <c:ser>
          <c:idx val="0"/>
          <c:order val="0"/>
          <c:tx>
            <c:strRef>
              <c:f>topbydiscount!$B$3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4C-4D3F-91E1-6F0ED3DBA4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4C-4D3F-91E1-6F0ED3DBA4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4C-4D3F-91E1-6F0ED3DBA4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4C-4D3F-91E1-6F0ED3DBA43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4C-4D3F-91E1-6F0ED3DBA43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4D5-43A4-B054-06AFE5C1A0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topbydiscount!$A$4:$A$9</c:f>
              <c:strCache>
                <c:ptCount val="5"/>
                <c:pt idx="0">
                  <c:v>60W Hot Melt Glue Sprayer - Efficient And Stable Glue Dispensing</c:v>
                </c:pt>
                <c:pt idx="1">
                  <c:v>Household Pineapple Peeler Peeler</c:v>
                </c:pt>
                <c:pt idx="2">
                  <c:v>LASA FOLDING TABLE SERVING STAND</c:v>
                </c:pt>
                <c:pt idx="3">
                  <c:v>MultiFunctional Storage Rack Multi-layer Bookshelf</c:v>
                </c:pt>
                <c:pt idx="4">
                  <c:v>Watercolour Gold Foil Textured Print Pillow Cover</c:v>
                </c:pt>
              </c:strCache>
            </c:strRef>
          </c:cat>
          <c:val>
            <c:numRef>
              <c:f>topbydiscount!$B$4:$B$9</c:f>
              <c:numCache>
                <c:formatCode>0.00%</c:formatCode>
                <c:ptCount val="5"/>
                <c:pt idx="0">
                  <c:v>0.54488888888888887</c:v>
                </c:pt>
                <c:pt idx="1">
                  <c:v>0.55000000000000004</c:v>
                </c:pt>
                <c:pt idx="2">
                  <c:v>0.54500000000000004</c:v>
                </c:pt>
                <c:pt idx="3">
                  <c:v>0.54500000000000004</c:v>
                </c:pt>
                <c:pt idx="4">
                  <c:v>0.60515873015873012</c:v>
                </c:pt>
              </c:numCache>
            </c:numRef>
          </c:val>
          <c:extLst>
            <c:ext xmlns:c16="http://schemas.microsoft.com/office/drawing/2014/chart" uri="{C3380CC4-5D6E-409C-BE32-E72D297353CC}">
              <c16:uniqueId val="{0000000A-8C4C-4D3F-91E1-6F0ED3DBA43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(Recovered).xlsx]topprodreview!PivotTable5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1"/>
                </a:solidFill>
              </a:rPr>
              <a:t>Top product by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97705226340309"/>
          <c:y val="0.31038316415550038"/>
          <c:w val="0.69569984737040436"/>
          <c:h val="0.3232008560598898"/>
        </c:manualLayout>
      </c:layout>
      <c:barChart>
        <c:barDir val="col"/>
        <c:grouping val="clustered"/>
        <c:varyColors val="0"/>
        <c:ser>
          <c:idx val="0"/>
          <c:order val="0"/>
          <c:tx>
            <c:strRef>
              <c:f>topprodreview!$B$3</c:f>
              <c:strCache>
                <c:ptCount val="1"/>
                <c:pt idx="0">
                  <c:v>Total</c:v>
                </c:pt>
              </c:strCache>
            </c:strRef>
          </c:tx>
          <c:spPr>
            <a:solidFill>
              <a:schemeClr val="accent1"/>
            </a:solidFill>
            <a:ln>
              <a:noFill/>
            </a:ln>
            <a:effectLst/>
          </c:spPr>
          <c:invertIfNegative val="0"/>
          <c:cat>
            <c:strRef>
              <c:f>topprodreview!$A$4:$A$9</c:f>
              <c:strCache>
                <c:ptCount val="5"/>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Electronic Digital Display Vernier Caliper</c:v>
                </c:pt>
              </c:strCache>
            </c:strRef>
          </c:cat>
          <c:val>
            <c:numRef>
              <c:f>topprodreview!$B$4:$B$9</c:f>
              <c:numCache>
                <c:formatCode>General</c:formatCode>
                <c:ptCount val="5"/>
                <c:pt idx="0">
                  <c:v>39</c:v>
                </c:pt>
                <c:pt idx="1">
                  <c:v>69</c:v>
                </c:pt>
                <c:pt idx="2">
                  <c:v>55</c:v>
                </c:pt>
                <c:pt idx="3">
                  <c:v>44</c:v>
                </c:pt>
                <c:pt idx="4">
                  <c:v>49</c:v>
                </c:pt>
              </c:numCache>
            </c:numRef>
          </c:val>
          <c:extLst>
            <c:ext xmlns:c16="http://schemas.microsoft.com/office/drawing/2014/chart" uri="{C3380CC4-5D6E-409C-BE32-E72D297353CC}">
              <c16:uniqueId val="{00000000-57F3-4819-94F9-10AE238CB534}"/>
            </c:ext>
          </c:extLst>
        </c:ser>
        <c:dLbls>
          <c:showLegendKey val="0"/>
          <c:showVal val="0"/>
          <c:showCatName val="0"/>
          <c:showSerName val="0"/>
          <c:showPercent val="0"/>
          <c:showBubbleSize val="0"/>
        </c:dLbls>
        <c:gapWidth val="182"/>
        <c:axId val="641365984"/>
        <c:axId val="641366464"/>
      </c:barChart>
      <c:catAx>
        <c:axId val="64136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366464"/>
        <c:crosses val="autoZero"/>
        <c:auto val="1"/>
        <c:lblAlgn val="ctr"/>
        <c:lblOffset val="100"/>
        <c:noMultiLvlLbl val="0"/>
      </c:catAx>
      <c:valAx>
        <c:axId val="64136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4136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(Recovered).xlsx]discount%vs reviews!PivotTable1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1"/>
                </a:solidFill>
              </a:rPr>
              <a:t>Discount</a:t>
            </a:r>
            <a:r>
              <a:rPr lang="en-GB" b="1" baseline="0">
                <a:solidFill>
                  <a:schemeClr val="accent1"/>
                </a:solidFill>
              </a:rPr>
              <a:t> % vs reviews</a:t>
            </a:r>
            <a:endParaRPr lang="en-GB"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'discount%vs reviews'!$B$3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'discount%vs reviews'!$A$4:$A$11</c:f>
              <c:strCache>
                <c:ptCount val="7"/>
                <c:pt idx="0">
                  <c:v>0.0170585523282619-0.107058552328262</c:v>
                </c:pt>
                <c:pt idx="1">
                  <c:v>0.107058552328262-0.197058552328262</c:v>
                </c:pt>
                <c:pt idx="2">
                  <c:v>0.197058552328262-0.287058552328262</c:v>
                </c:pt>
                <c:pt idx="3">
                  <c:v>0.287058552328262-0.377058552328262</c:v>
                </c:pt>
                <c:pt idx="4">
                  <c:v>0.377058552328262-0.467058552328262</c:v>
                </c:pt>
                <c:pt idx="5">
                  <c:v>0.467058552328262-0.557058552328262</c:v>
                </c:pt>
                <c:pt idx="6">
                  <c:v>0.557058552328262-0.647058552328262</c:v>
                </c:pt>
              </c:strCache>
            </c:strRef>
          </c:cat>
          <c:val>
            <c:numRef>
              <c:f>'discount%vs reviews'!$B$4:$B$11</c:f>
              <c:numCache>
                <c:formatCode>General</c:formatCode>
                <c:ptCount val="7"/>
                <c:pt idx="0">
                  <c:v>5.5714285714285712</c:v>
                </c:pt>
                <c:pt idx="1">
                  <c:v>0.7142857142857143</c:v>
                </c:pt>
                <c:pt idx="2">
                  <c:v>13.714285714285714</c:v>
                </c:pt>
                <c:pt idx="3">
                  <c:v>5.8421052631578947</c:v>
                </c:pt>
                <c:pt idx="4">
                  <c:v>6.3076923076923075</c:v>
                </c:pt>
                <c:pt idx="5">
                  <c:v>5.8857142857142861</c:v>
                </c:pt>
                <c:pt idx="6">
                  <c:v>6</c:v>
                </c:pt>
              </c:numCache>
            </c:numRef>
          </c:val>
          <c:smooth val="0"/>
          <c:extLst>
            <c:ext xmlns:c16="http://schemas.microsoft.com/office/drawing/2014/chart" uri="{C3380CC4-5D6E-409C-BE32-E72D297353CC}">
              <c16:uniqueId val="{00000000-114E-4EDE-9C5C-A113663D0187}"/>
            </c:ext>
          </c:extLst>
        </c:ser>
        <c:dLbls>
          <c:showLegendKey val="0"/>
          <c:showVal val="0"/>
          <c:showCatName val="0"/>
          <c:showSerName val="0"/>
          <c:showPercent val="0"/>
          <c:showBubbleSize val="0"/>
        </c:dLbls>
        <c:marker val="1"/>
        <c:smooth val="0"/>
        <c:axId val="1448735200"/>
        <c:axId val="1645389920"/>
      </c:lineChart>
      <c:catAx>
        <c:axId val="144873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45389920"/>
        <c:crosses val="autoZero"/>
        <c:auto val="1"/>
        <c:lblAlgn val="ctr"/>
        <c:lblOffset val="100"/>
        <c:noMultiLvlLbl val="0"/>
      </c:catAx>
      <c:valAx>
        <c:axId val="164538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4873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(Recovered).xlsx]Ratingvsreviews!PivotTable2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1"/>
                </a:solidFill>
              </a:rPr>
              <a:t>Rating</a:t>
            </a:r>
            <a:r>
              <a:rPr lang="en-GB" b="1" baseline="0">
                <a:solidFill>
                  <a:schemeClr val="accent1"/>
                </a:solidFill>
              </a:rPr>
              <a:t> versus reviews</a:t>
            </a:r>
            <a:endParaRPr lang="en-GB"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Ratingvsreviews!$B$3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39-4A7F-A2BD-D9021E8B32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39-4A7F-A2BD-D9021E8B32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39-4A7F-A2BD-D9021E8B32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39-4A7F-A2BD-D9021E8B32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39-4A7F-A2BD-D9021E8B323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39-4A7F-A2BD-D9021E8B323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E39-4A7F-A2BD-D9021E8B323C}"/>
              </c:ext>
            </c:extLst>
          </c:dPt>
          <c:cat>
            <c:strRef>
              <c:f>Ratingvsreviews!$A$4:$A$11</c:f>
              <c:strCache>
                <c:ptCount val="7"/>
                <c:pt idx="0">
                  <c:v>0-10</c:v>
                </c:pt>
                <c:pt idx="1">
                  <c:v>10-20</c:v>
                </c:pt>
                <c:pt idx="2">
                  <c:v>20-30</c:v>
                </c:pt>
                <c:pt idx="3">
                  <c:v>30-40</c:v>
                </c:pt>
                <c:pt idx="4">
                  <c:v>40-50</c:v>
                </c:pt>
                <c:pt idx="5">
                  <c:v>50-60</c:v>
                </c:pt>
                <c:pt idx="6">
                  <c:v>60-70</c:v>
                </c:pt>
              </c:strCache>
            </c:strRef>
          </c:cat>
          <c:val>
            <c:numRef>
              <c:f>Ratingvsreviews!$B$4:$B$11</c:f>
              <c:numCache>
                <c:formatCode>General</c:formatCode>
                <c:ptCount val="7"/>
                <c:pt idx="0">
                  <c:v>325.5000000000004</c:v>
                </c:pt>
                <c:pt idx="1">
                  <c:v>50.300000000000011</c:v>
                </c:pt>
                <c:pt idx="2">
                  <c:v>13.399999999999999</c:v>
                </c:pt>
                <c:pt idx="3">
                  <c:v>13.5</c:v>
                </c:pt>
                <c:pt idx="4">
                  <c:v>9.1999999999999993</c:v>
                </c:pt>
                <c:pt idx="5">
                  <c:v>4.5999999999999996</c:v>
                </c:pt>
                <c:pt idx="6">
                  <c:v>2.8</c:v>
                </c:pt>
              </c:numCache>
            </c:numRef>
          </c:val>
          <c:extLst>
            <c:ext xmlns:c16="http://schemas.microsoft.com/office/drawing/2014/chart" uri="{C3380CC4-5D6E-409C-BE32-E72D297353CC}">
              <c16:uniqueId val="{0000000E-5E39-4A7F-A2BD-D9021E8B323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(Recovered).xlsx]productsbyrating!PivotTable4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Products</a:t>
            </a:r>
            <a:r>
              <a:rPr lang="en-US" b="1" baseline="0">
                <a:solidFill>
                  <a:schemeClr val="accent1"/>
                </a:solidFill>
              </a:rPr>
              <a:t> by rating category</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productsbyrating!$B$3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72-4873-8A50-C31B6A174B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72-4873-8A50-C31B6A174B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72-4873-8A50-C31B6A174B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productsbyrating!$A$4:$A$7</c:f>
              <c:strCache>
                <c:ptCount val="3"/>
                <c:pt idx="0">
                  <c:v>2-3</c:v>
                </c:pt>
                <c:pt idx="1">
                  <c:v>3-4</c:v>
                </c:pt>
                <c:pt idx="2">
                  <c:v>4-5</c:v>
                </c:pt>
              </c:strCache>
            </c:strRef>
          </c:cat>
          <c:val>
            <c:numRef>
              <c:f>productsbyrating!$B$4:$B$7</c:f>
              <c:numCache>
                <c:formatCode>General</c:formatCode>
                <c:ptCount val="3"/>
                <c:pt idx="0">
                  <c:v>12</c:v>
                </c:pt>
                <c:pt idx="1">
                  <c:v>61</c:v>
                </c:pt>
                <c:pt idx="2">
                  <c:v>36</c:v>
                </c:pt>
              </c:numCache>
            </c:numRef>
          </c:val>
          <c:extLst>
            <c:ext xmlns:c16="http://schemas.microsoft.com/office/drawing/2014/chart" uri="{C3380CC4-5D6E-409C-BE32-E72D297353CC}">
              <c16:uniqueId val="{00000006-8E72-4873-8A50-C31B6A174BD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(Recovered).xlsx]productsbydiscount!PivotTable5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Products</a:t>
            </a:r>
            <a:r>
              <a:rPr lang="en-US" b="1" baseline="0">
                <a:solidFill>
                  <a:schemeClr val="accent1"/>
                </a:solidFill>
              </a:rPr>
              <a:t> by rating category</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productsbydiscount!$B$3</c:f>
              <c:strCache>
                <c:ptCount val="1"/>
                <c:pt idx="0">
                  <c:v>Total</c:v>
                </c:pt>
              </c:strCache>
            </c:strRef>
          </c:tx>
          <c:spPr>
            <a:solidFill>
              <a:schemeClr val="accent1"/>
            </a:solidFill>
            <a:ln>
              <a:noFill/>
            </a:ln>
            <a:effectLst/>
          </c:spPr>
          <c:invertIfNegative val="0"/>
          <c:cat>
            <c:strRef>
              <c:f>productsbydiscount!$A$4:$A$7</c:f>
              <c:strCache>
                <c:ptCount val="3"/>
                <c:pt idx="0">
                  <c:v>High Discount</c:v>
                </c:pt>
                <c:pt idx="1">
                  <c:v>Low discount</c:v>
                </c:pt>
                <c:pt idx="2">
                  <c:v>Medium Discount</c:v>
                </c:pt>
              </c:strCache>
            </c:strRef>
          </c:cat>
          <c:val>
            <c:numRef>
              <c:f>productsbydiscount!$B$4:$B$7</c:f>
              <c:numCache>
                <c:formatCode>General</c:formatCode>
                <c:ptCount val="3"/>
                <c:pt idx="0">
                  <c:v>58</c:v>
                </c:pt>
                <c:pt idx="1">
                  <c:v>14</c:v>
                </c:pt>
                <c:pt idx="2">
                  <c:v>37</c:v>
                </c:pt>
              </c:numCache>
            </c:numRef>
          </c:val>
          <c:extLst>
            <c:ext xmlns:c16="http://schemas.microsoft.com/office/drawing/2014/chart" uri="{C3380CC4-5D6E-409C-BE32-E72D297353CC}">
              <c16:uniqueId val="{00000000-7DA9-4B5E-8250-CB5CE8EA10E7}"/>
            </c:ext>
          </c:extLst>
        </c:ser>
        <c:dLbls>
          <c:showLegendKey val="0"/>
          <c:showVal val="0"/>
          <c:showCatName val="0"/>
          <c:showSerName val="0"/>
          <c:showPercent val="0"/>
          <c:showBubbleSize val="0"/>
        </c:dLbls>
        <c:gapWidth val="219"/>
        <c:overlap val="-27"/>
        <c:axId val="108465503"/>
        <c:axId val="108457823"/>
      </c:barChart>
      <c:catAx>
        <c:axId val="10846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8457823"/>
        <c:crosses val="autoZero"/>
        <c:auto val="1"/>
        <c:lblAlgn val="ctr"/>
        <c:lblOffset val="100"/>
        <c:noMultiLvlLbl val="0"/>
      </c:catAx>
      <c:valAx>
        <c:axId val="10845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846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(Recovered).xlsx]discount%vs reviews!PivotTable1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1"/>
                </a:solidFill>
              </a:rPr>
              <a:t>Discount</a:t>
            </a:r>
            <a:r>
              <a:rPr lang="en-GB" b="1" baseline="0">
                <a:solidFill>
                  <a:schemeClr val="accent1"/>
                </a:solidFill>
              </a:rPr>
              <a:t> % vs reviews</a:t>
            </a:r>
            <a:endParaRPr lang="en-GB"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'discount%vs reviews'!$B$3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'discount%vs reviews'!$A$4:$A$11</c:f>
              <c:strCache>
                <c:ptCount val="7"/>
                <c:pt idx="0">
                  <c:v>0.0170585523282619-0.107058552328262</c:v>
                </c:pt>
                <c:pt idx="1">
                  <c:v>0.107058552328262-0.197058552328262</c:v>
                </c:pt>
                <c:pt idx="2">
                  <c:v>0.197058552328262-0.287058552328262</c:v>
                </c:pt>
                <c:pt idx="3">
                  <c:v>0.287058552328262-0.377058552328262</c:v>
                </c:pt>
                <c:pt idx="4">
                  <c:v>0.377058552328262-0.467058552328262</c:v>
                </c:pt>
                <c:pt idx="5">
                  <c:v>0.467058552328262-0.557058552328262</c:v>
                </c:pt>
                <c:pt idx="6">
                  <c:v>0.557058552328262-0.647058552328262</c:v>
                </c:pt>
              </c:strCache>
            </c:strRef>
          </c:cat>
          <c:val>
            <c:numRef>
              <c:f>'discount%vs reviews'!$B$4:$B$11</c:f>
              <c:numCache>
                <c:formatCode>General</c:formatCode>
                <c:ptCount val="7"/>
                <c:pt idx="0">
                  <c:v>5.5714285714285712</c:v>
                </c:pt>
                <c:pt idx="1">
                  <c:v>0.7142857142857143</c:v>
                </c:pt>
                <c:pt idx="2">
                  <c:v>13.714285714285714</c:v>
                </c:pt>
                <c:pt idx="3">
                  <c:v>5.8421052631578947</c:v>
                </c:pt>
                <c:pt idx="4">
                  <c:v>6.3076923076923075</c:v>
                </c:pt>
                <c:pt idx="5">
                  <c:v>5.8857142857142861</c:v>
                </c:pt>
                <c:pt idx="6">
                  <c:v>6</c:v>
                </c:pt>
              </c:numCache>
            </c:numRef>
          </c:val>
          <c:smooth val="0"/>
          <c:extLst>
            <c:ext xmlns:c16="http://schemas.microsoft.com/office/drawing/2014/chart" uri="{C3380CC4-5D6E-409C-BE32-E72D297353CC}">
              <c16:uniqueId val="{00000000-FBFD-4AB5-B20D-A3F87707695F}"/>
            </c:ext>
          </c:extLst>
        </c:ser>
        <c:dLbls>
          <c:showLegendKey val="0"/>
          <c:showVal val="0"/>
          <c:showCatName val="0"/>
          <c:showSerName val="0"/>
          <c:showPercent val="0"/>
          <c:showBubbleSize val="0"/>
        </c:dLbls>
        <c:marker val="1"/>
        <c:smooth val="0"/>
        <c:axId val="1448735200"/>
        <c:axId val="1645389920"/>
      </c:lineChart>
      <c:catAx>
        <c:axId val="144873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45389920"/>
        <c:crosses val="autoZero"/>
        <c:auto val="1"/>
        <c:lblAlgn val="ctr"/>
        <c:lblOffset val="100"/>
        <c:noMultiLvlLbl val="0"/>
      </c:catAx>
      <c:valAx>
        <c:axId val="164538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4873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(Recovered).xlsx]Ratingvsreviews!PivotTable2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1"/>
                </a:solidFill>
              </a:rPr>
              <a:t>Rating</a:t>
            </a:r>
            <a:r>
              <a:rPr lang="en-GB" b="1" baseline="0">
                <a:solidFill>
                  <a:schemeClr val="accent1"/>
                </a:solidFill>
              </a:rPr>
              <a:t> versus reviews</a:t>
            </a:r>
            <a:endParaRPr lang="en-GB"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Ratingvsreviews!$B$3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D0-4660-A64B-C9AAAC8E85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D0-4660-A64B-C9AAAC8E85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D0-4660-A64B-C9AAAC8E85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D0-4660-A64B-C9AAAC8E85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CD0-4660-A64B-C9AAAC8E85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CD0-4660-A64B-C9AAAC8E85D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CD0-4660-A64B-C9AAAC8E85DC}"/>
              </c:ext>
            </c:extLst>
          </c:dPt>
          <c:cat>
            <c:strRef>
              <c:f>Ratingvsreviews!$A$4:$A$11</c:f>
              <c:strCache>
                <c:ptCount val="7"/>
                <c:pt idx="0">
                  <c:v>0-10</c:v>
                </c:pt>
                <c:pt idx="1">
                  <c:v>10-20</c:v>
                </c:pt>
                <c:pt idx="2">
                  <c:v>20-30</c:v>
                </c:pt>
                <c:pt idx="3">
                  <c:v>30-40</c:v>
                </c:pt>
                <c:pt idx="4">
                  <c:v>40-50</c:v>
                </c:pt>
                <c:pt idx="5">
                  <c:v>50-60</c:v>
                </c:pt>
                <c:pt idx="6">
                  <c:v>60-70</c:v>
                </c:pt>
              </c:strCache>
            </c:strRef>
          </c:cat>
          <c:val>
            <c:numRef>
              <c:f>Ratingvsreviews!$B$4:$B$11</c:f>
              <c:numCache>
                <c:formatCode>General</c:formatCode>
                <c:ptCount val="7"/>
                <c:pt idx="0">
                  <c:v>325.5000000000004</c:v>
                </c:pt>
                <c:pt idx="1">
                  <c:v>50.300000000000011</c:v>
                </c:pt>
                <c:pt idx="2">
                  <c:v>13.399999999999999</c:v>
                </c:pt>
                <c:pt idx="3">
                  <c:v>13.5</c:v>
                </c:pt>
                <c:pt idx="4">
                  <c:v>9.1999999999999993</c:v>
                </c:pt>
                <c:pt idx="5">
                  <c:v>4.5999999999999996</c:v>
                </c:pt>
                <c:pt idx="6">
                  <c:v>2.8</c:v>
                </c:pt>
              </c:numCache>
            </c:numRef>
          </c:val>
          <c:extLst>
            <c:ext xmlns:c16="http://schemas.microsoft.com/office/drawing/2014/chart" uri="{C3380CC4-5D6E-409C-BE32-E72D297353CC}">
              <c16:uniqueId val="{00000000-6C82-4A3E-9991-E1630CACB77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(Recovered).xlsx]productsbydiscount!PivotTable5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productsbydiscount!$B$3</c:f>
              <c:strCache>
                <c:ptCount val="1"/>
                <c:pt idx="0">
                  <c:v>Total</c:v>
                </c:pt>
              </c:strCache>
            </c:strRef>
          </c:tx>
          <c:spPr>
            <a:solidFill>
              <a:schemeClr val="accent1"/>
            </a:solidFill>
            <a:ln>
              <a:noFill/>
            </a:ln>
            <a:effectLst/>
          </c:spPr>
          <c:invertIfNegative val="0"/>
          <c:cat>
            <c:strRef>
              <c:f>productsbydiscount!$A$4:$A$7</c:f>
              <c:strCache>
                <c:ptCount val="3"/>
                <c:pt idx="0">
                  <c:v>High Discount</c:v>
                </c:pt>
                <c:pt idx="1">
                  <c:v>Low discount</c:v>
                </c:pt>
                <c:pt idx="2">
                  <c:v>Medium Discount</c:v>
                </c:pt>
              </c:strCache>
            </c:strRef>
          </c:cat>
          <c:val>
            <c:numRef>
              <c:f>productsbydiscount!$B$4:$B$7</c:f>
              <c:numCache>
                <c:formatCode>General</c:formatCode>
                <c:ptCount val="3"/>
                <c:pt idx="0">
                  <c:v>58</c:v>
                </c:pt>
                <c:pt idx="1">
                  <c:v>14</c:v>
                </c:pt>
                <c:pt idx="2">
                  <c:v>37</c:v>
                </c:pt>
              </c:numCache>
            </c:numRef>
          </c:val>
          <c:extLst>
            <c:ext xmlns:c16="http://schemas.microsoft.com/office/drawing/2014/chart" uri="{C3380CC4-5D6E-409C-BE32-E72D297353CC}">
              <c16:uniqueId val="{00000000-32D8-42C7-A2FC-31E39B6C74F6}"/>
            </c:ext>
          </c:extLst>
        </c:ser>
        <c:dLbls>
          <c:showLegendKey val="0"/>
          <c:showVal val="0"/>
          <c:showCatName val="0"/>
          <c:showSerName val="0"/>
          <c:showPercent val="0"/>
          <c:showBubbleSize val="0"/>
        </c:dLbls>
        <c:gapWidth val="219"/>
        <c:overlap val="-27"/>
        <c:axId val="108465503"/>
        <c:axId val="108457823"/>
      </c:barChart>
      <c:catAx>
        <c:axId val="10846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8457823"/>
        <c:crosses val="autoZero"/>
        <c:auto val="1"/>
        <c:lblAlgn val="ctr"/>
        <c:lblOffset val="100"/>
        <c:noMultiLvlLbl val="0"/>
      </c:catAx>
      <c:valAx>
        <c:axId val="10845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8465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chart" Target="../charts/chart19.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2</xdr:col>
      <xdr:colOff>376237</xdr:colOff>
      <xdr:row>2</xdr:row>
      <xdr:rowOff>149225</xdr:rowOff>
    </xdr:from>
    <xdr:to>
      <xdr:col>10</xdr:col>
      <xdr:colOff>71437</xdr:colOff>
      <xdr:row>17</xdr:row>
      <xdr:rowOff>82550</xdr:rowOff>
    </xdr:to>
    <xdr:graphicFrame macro="">
      <xdr:nvGraphicFramePr>
        <xdr:cNvPr id="2" name="Chart 1">
          <a:extLst>
            <a:ext uri="{FF2B5EF4-FFF2-40B4-BE49-F238E27FC236}">
              <a16:creationId xmlns:a16="http://schemas.microsoft.com/office/drawing/2014/main" id="{5BE65F5E-DE8A-91FE-0E1C-26BDDE06F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106362</xdr:colOff>
      <xdr:row>2</xdr:row>
      <xdr:rowOff>47625</xdr:rowOff>
    </xdr:from>
    <xdr:to>
      <xdr:col>9</xdr:col>
      <xdr:colOff>411162</xdr:colOff>
      <xdr:row>16</xdr:row>
      <xdr:rowOff>168275</xdr:rowOff>
    </xdr:to>
    <xdr:graphicFrame macro="">
      <xdr:nvGraphicFramePr>
        <xdr:cNvPr id="2" name="Chart 1">
          <a:extLst>
            <a:ext uri="{FF2B5EF4-FFF2-40B4-BE49-F238E27FC236}">
              <a16:creationId xmlns:a16="http://schemas.microsoft.com/office/drawing/2014/main" id="{6F9C5FA7-90FA-62C9-316E-3A29CCA8D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477838</xdr:colOff>
      <xdr:row>1</xdr:row>
      <xdr:rowOff>22225</xdr:rowOff>
    </xdr:from>
    <xdr:to>
      <xdr:col>9</xdr:col>
      <xdr:colOff>15875</xdr:colOff>
      <xdr:row>13</xdr:row>
      <xdr:rowOff>180975</xdr:rowOff>
    </xdr:to>
    <xdr:graphicFrame macro="">
      <xdr:nvGraphicFramePr>
        <xdr:cNvPr id="2" name="Chart 1">
          <a:extLst>
            <a:ext uri="{FF2B5EF4-FFF2-40B4-BE49-F238E27FC236}">
              <a16:creationId xmlns:a16="http://schemas.microsoft.com/office/drawing/2014/main" id="{2D2F2B04-8933-B33B-AEC2-56B48D5D1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179387</xdr:colOff>
      <xdr:row>5</xdr:row>
      <xdr:rowOff>158750</xdr:rowOff>
    </xdr:from>
    <xdr:to>
      <xdr:col>8</xdr:col>
      <xdr:colOff>52387</xdr:colOff>
      <xdr:row>20</xdr:row>
      <xdr:rowOff>92075</xdr:rowOff>
    </xdr:to>
    <xdr:graphicFrame macro="">
      <xdr:nvGraphicFramePr>
        <xdr:cNvPr id="2" name="Chart 1">
          <a:extLst>
            <a:ext uri="{FF2B5EF4-FFF2-40B4-BE49-F238E27FC236}">
              <a16:creationId xmlns:a16="http://schemas.microsoft.com/office/drawing/2014/main" id="{49E0D643-9657-73F8-D159-3A38CEB0C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3927475</xdr:colOff>
      <xdr:row>7</xdr:row>
      <xdr:rowOff>101600</xdr:rowOff>
    </xdr:from>
    <xdr:to>
      <xdr:col>7</xdr:col>
      <xdr:colOff>314325</xdr:colOff>
      <xdr:row>22</xdr:row>
      <xdr:rowOff>34925</xdr:rowOff>
    </xdr:to>
    <xdr:graphicFrame macro="">
      <xdr:nvGraphicFramePr>
        <xdr:cNvPr id="4" name="Chart 3">
          <a:extLst>
            <a:ext uri="{FF2B5EF4-FFF2-40B4-BE49-F238E27FC236}">
              <a16:creationId xmlns:a16="http://schemas.microsoft.com/office/drawing/2014/main" id="{B6DE44BD-0A32-4F86-40D7-2D6023A0E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2963862</xdr:colOff>
      <xdr:row>6</xdr:row>
      <xdr:rowOff>85725</xdr:rowOff>
    </xdr:from>
    <xdr:to>
      <xdr:col>6</xdr:col>
      <xdr:colOff>258762</xdr:colOff>
      <xdr:row>21</xdr:row>
      <xdr:rowOff>19050</xdr:rowOff>
    </xdr:to>
    <xdr:graphicFrame macro="">
      <xdr:nvGraphicFramePr>
        <xdr:cNvPr id="3" name="Chart 2">
          <a:extLst>
            <a:ext uri="{FF2B5EF4-FFF2-40B4-BE49-F238E27FC236}">
              <a16:creationId xmlns:a16="http://schemas.microsoft.com/office/drawing/2014/main" id="{4FF68271-1A4B-B62C-A133-FD2659F0C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269874</xdr:colOff>
      <xdr:row>1</xdr:row>
      <xdr:rowOff>63499</xdr:rowOff>
    </xdr:from>
    <xdr:to>
      <xdr:col>8</xdr:col>
      <xdr:colOff>569911</xdr:colOff>
      <xdr:row>14</xdr:row>
      <xdr:rowOff>126999</xdr:rowOff>
    </xdr:to>
    <xdr:graphicFrame macro="">
      <xdr:nvGraphicFramePr>
        <xdr:cNvPr id="2" name="Chart 1">
          <a:extLst>
            <a:ext uri="{FF2B5EF4-FFF2-40B4-BE49-F238E27FC236}">
              <a16:creationId xmlns:a16="http://schemas.microsoft.com/office/drawing/2014/main" id="{299049CC-8AA2-D89C-2A53-6BF6A2F67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565150</xdr:colOff>
      <xdr:row>5</xdr:row>
      <xdr:rowOff>41275</xdr:rowOff>
    </xdr:from>
    <xdr:to>
      <xdr:col>13</xdr:col>
      <xdr:colOff>565150</xdr:colOff>
      <xdr:row>18</xdr:row>
      <xdr:rowOff>130175</xdr:rowOff>
    </xdr:to>
    <mc:AlternateContent xmlns:mc="http://schemas.openxmlformats.org/markup-compatibility/2006" xmlns:a14="http://schemas.microsoft.com/office/drawing/2010/main">
      <mc:Choice Requires="a14">
        <xdr:graphicFrame macro="">
          <xdr:nvGraphicFramePr>
            <xdr:cNvPr id="3" name="Rating Category">
              <a:extLst>
                <a:ext uri="{FF2B5EF4-FFF2-40B4-BE49-F238E27FC236}">
                  <a16:creationId xmlns:a16="http://schemas.microsoft.com/office/drawing/2014/main" id="{4C58F3BD-E0BF-EF8C-5F40-322190D76A5E}"/>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9156700" y="9779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187325</xdr:colOff>
      <xdr:row>7</xdr:row>
      <xdr:rowOff>149225</xdr:rowOff>
    </xdr:from>
    <xdr:to>
      <xdr:col>10</xdr:col>
      <xdr:colOff>187325</xdr:colOff>
      <xdr:row>21</xdr:row>
      <xdr:rowOff>50800</xdr:rowOff>
    </xdr:to>
    <mc:AlternateContent xmlns:mc="http://schemas.openxmlformats.org/markup-compatibility/2006" xmlns:a14="http://schemas.microsoft.com/office/drawing/2010/main">
      <mc:Choice Requires="a14">
        <xdr:graphicFrame macro="">
          <xdr:nvGraphicFramePr>
            <xdr:cNvPr id="4" name="Discount category">
              <a:extLst>
                <a:ext uri="{FF2B5EF4-FFF2-40B4-BE49-F238E27FC236}">
                  <a16:creationId xmlns:a16="http://schemas.microsoft.com/office/drawing/2014/main" id="{91610537-CF40-1B61-F02B-FD0497450E43}"/>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6950075" y="14605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139700</xdr:colOff>
      <xdr:row>4</xdr:row>
      <xdr:rowOff>60325</xdr:rowOff>
    </xdr:from>
    <xdr:to>
      <xdr:col>7</xdr:col>
      <xdr:colOff>139700</xdr:colOff>
      <xdr:row>17</xdr:row>
      <xdr:rowOff>149225</xdr:rowOff>
    </xdr:to>
    <mc:AlternateContent xmlns:mc="http://schemas.openxmlformats.org/markup-compatibility/2006" xmlns:a14="http://schemas.microsoft.com/office/drawing/2010/main">
      <mc:Choice Requires="a14">
        <xdr:graphicFrame macro="">
          <xdr:nvGraphicFramePr>
            <xdr:cNvPr id="5" name="Price range">
              <a:extLst>
                <a:ext uri="{FF2B5EF4-FFF2-40B4-BE49-F238E27FC236}">
                  <a16:creationId xmlns:a16="http://schemas.microsoft.com/office/drawing/2014/main" id="{2351A437-FA31-C5DD-C9C4-26653E6765BB}"/>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5073650" y="809625"/>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xdr:col>
      <xdr:colOff>87312</xdr:colOff>
      <xdr:row>2</xdr:row>
      <xdr:rowOff>133350</xdr:rowOff>
    </xdr:from>
    <xdr:to>
      <xdr:col>7</xdr:col>
      <xdr:colOff>434975</xdr:colOff>
      <xdr:row>17</xdr:row>
      <xdr:rowOff>66675</xdr:rowOff>
    </xdr:to>
    <xdr:graphicFrame macro="">
      <xdr:nvGraphicFramePr>
        <xdr:cNvPr id="2" name="Chart 1">
          <a:extLst>
            <a:ext uri="{FF2B5EF4-FFF2-40B4-BE49-F238E27FC236}">
              <a16:creationId xmlns:a16="http://schemas.microsoft.com/office/drawing/2014/main" id="{B51638B2-05B8-3489-21D5-D34E9BE160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324312</xdr:colOff>
      <xdr:row>4</xdr:row>
      <xdr:rowOff>119062</xdr:rowOff>
    </xdr:from>
    <xdr:to>
      <xdr:col>17</xdr:col>
      <xdr:colOff>218022</xdr:colOff>
      <xdr:row>8</xdr:row>
      <xdr:rowOff>110989</xdr:rowOff>
    </xdr:to>
    <xdr:sp macro="" textlink="">
      <xdr:nvSpPr>
        <xdr:cNvPr id="2" name="Rectangle: Rounded Corners 1">
          <a:extLst>
            <a:ext uri="{FF2B5EF4-FFF2-40B4-BE49-F238E27FC236}">
              <a16:creationId xmlns:a16="http://schemas.microsoft.com/office/drawing/2014/main" id="{A548C949-9385-02D5-3C26-402AC85663D6}"/>
            </a:ext>
          </a:extLst>
        </xdr:cNvPr>
        <xdr:cNvSpPr/>
      </xdr:nvSpPr>
      <xdr:spPr>
        <a:xfrm>
          <a:off x="2773598" y="867455"/>
          <a:ext cx="7853888" cy="74032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b"/>
        <a:lstStyle/>
        <a:p>
          <a:pPr algn="l"/>
          <a:r>
            <a:rPr lang="en-GB" sz="3600" b="1">
              <a:solidFill>
                <a:schemeClr val="accent1">
                  <a:lumMod val="75000"/>
                </a:schemeClr>
              </a:solidFill>
            </a:rPr>
            <a:t>Jumia Product Performance Dashboard</a:t>
          </a:r>
          <a:endParaRPr lang="en-KE" sz="3600" b="1">
            <a:solidFill>
              <a:schemeClr val="accent1">
                <a:lumMod val="75000"/>
              </a:schemeClr>
            </a:solidFill>
          </a:endParaRPr>
        </a:p>
      </xdr:txBody>
    </xdr:sp>
    <xdr:clientData/>
  </xdr:twoCellAnchor>
  <xdr:twoCellAnchor>
    <xdr:from>
      <xdr:col>16</xdr:col>
      <xdr:colOff>9622</xdr:colOff>
      <xdr:row>29</xdr:row>
      <xdr:rowOff>55196</xdr:rowOff>
    </xdr:from>
    <xdr:to>
      <xdr:col>21</xdr:col>
      <xdr:colOff>331176</xdr:colOff>
      <xdr:row>42</xdr:row>
      <xdr:rowOff>14433</xdr:rowOff>
    </xdr:to>
    <xdr:graphicFrame macro="">
      <xdr:nvGraphicFramePr>
        <xdr:cNvPr id="3" name="Chart 2">
          <a:extLst>
            <a:ext uri="{FF2B5EF4-FFF2-40B4-BE49-F238E27FC236}">
              <a16:creationId xmlns:a16="http://schemas.microsoft.com/office/drawing/2014/main" id="{521B4619-AFE2-4354-B3DA-A640C55E2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575754</xdr:colOff>
      <xdr:row>43</xdr:row>
      <xdr:rowOff>71905</xdr:rowOff>
    </xdr:from>
    <xdr:to>
      <xdr:col>9</xdr:col>
      <xdr:colOff>279015</xdr:colOff>
      <xdr:row>56</xdr:row>
      <xdr:rowOff>134696</xdr:rowOff>
    </xdr:to>
    <xdr:graphicFrame macro="">
      <xdr:nvGraphicFramePr>
        <xdr:cNvPr id="4" name="Chart 3">
          <a:extLst>
            <a:ext uri="{FF2B5EF4-FFF2-40B4-BE49-F238E27FC236}">
              <a16:creationId xmlns:a16="http://schemas.microsoft.com/office/drawing/2014/main" id="{095BC6B3-1F89-4363-A3E5-A213ED146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602972</xdr:colOff>
      <xdr:row>43</xdr:row>
      <xdr:rowOff>133811</xdr:rowOff>
    </xdr:from>
    <xdr:to>
      <xdr:col>21</xdr:col>
      <xdr:colOff>365606</xdr:colOff>
      <xdr:row>56</xdr:row>
      <xdr:rowOff>113393</xdr:rowOff>
    </xdr:to>
    <xdr:graphicFrame macro="">
      <xdr:nvGraphicFramePr>
        <xdr:cNvPr id="5" name="Chart 4">
          <a:extLst>
            <a:ext uri="{FF2B5EF4-FFF2-40B4-BE49-F238E27FC236}">
              <a16:creationId xmlns:a16="http://schemas.microsoft.com/office/drawing/2014/main" id="{8AAD4E7F-A71C-45A0-836C-43B59D5C0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513588</xdr:colOff>
      <xdr:row>57</xdr:row>
      <xdr:rowOff>80852</xdr:rowOff>
    </xdr:from>
    <xdr:to>
      <xdr:col>15</xdr:col>
      <xdr:colOff>470925</xdr:colOff>
      <xdr:row>70</xdr:row>
      <xdr:rowOff>98446</xdr:rowOff>
    </xdr:to>
    <xdr:graphicFrame macro="">
      <xdr:nvGraphicFramePr>
        <xdr:cNvPr id="6" name="Chart 5">
          <a:extLst>
            <a:ext uri="{FF2B5EF4-FFF2-40B4-BE49-F238E27FC236}">
              <a16:creationId xmlns:a16="http://schemas.microsoft.com/office/drawing/2014/main" id="{36E8F8CE-573F-4C80-ADAB-1D9EB7B33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565660</xdr:colOff>
      <xdr:row>14</xdr:row>
      <xdr:rowOff>134697</xdr:rowOff>
    </xdr:from>
    <xdr:to>
      <xdr:col>15</xdr:col>
      <xdr:colOff>394470</xdr:colOff>
      <xdr:row>27</xdr:row>
      <xdr:rowOff>153939</xdr:rowOff>
    </xdr:to>
    <xdr:graphicFrame macro="">
      <xdr:nvGraphicFramePr>
        <xdr:cNvPr id="7" name="Chart 6">
          <a:extLst>
            <a:ext uri="{FF2B5EF4-FFF2-40B4-BE49-F238E27FC236}">
              <a16:creationId xmlns:a16="http://schemas.microsoft.com/office/drawing/2014/main" id="{9568AB7A-0675-4B2F-8624-5A913E905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39496</xdr:colOff>
      <xdr:row>14</xdr:row>
      <xdr:rowOff>163562</xdr:rowOff>
    </xdr:from>
    <xdr:to>
      <xdr:col>21</xdr:col>
      <xdr:colOff>298509</xdr:colOff>
      <xdr:row>27</xdr:row>
      <xdr:rowOff>173182</xdr:rowOff>
    </xdr:to>
    <xdr:graphicFrame macro="">
      <xdr:nvGraphicFramePr>
        <xdr:cNvPr id="8" name="Chart 7">
          <a:extLst>
            <a:ext uri="{FF2B5EF4-FFF2-40B4-BE49-F238E27FC236}">
              <a16:creationId xmlns:a16="http://schemas.microsoft.com/office/drawing/2014/main" id="{CCB3C441-973E-49CB-9645-9DF67F4DD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531829</xdr:colOff>
      <xdr:row>29</xdr:row>
      <xdr:rowOff>48106</xdr:rowOff>
    </xdr:from>
    <xdr:to>
      <xdr:col>15</xdr:col>
      <xdr:colOff>452197</xdr:colOff>
      <xdr:row>42</xdr:row>
      <xdr:rowOff>0</xdr:rowOff>
    </xdr:to>
    <xdr:graphicFrame macro="">
      <xdr:nvGraphicFramePr>
        <xdr:cNvPr id="9" name="Chart 8">
          <a:extLst>
            <a:ext uri="{FF2B5EF4-FFF2-40B4-BE49-F238E27FC236}">
              <a16:creationId xmlns:a16="http://schemas.microsoft.com/office/drawing/2014/main" id="{424257B7-9221-4751-BD65-C2DCE3728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371809</xdr:colOff>
      <xdr:row>16</xdr:row>
      <xdr:rowOff>15445</xdr:rowOff>
    </xdr:from>
    <xdr:to>
      <xdr:col>3</xdr:col>
      <xdr:colOff>258634</xdr:colOff>
      <xdr:row>25</xdr:row>
      <xdr:rowOff>136595</xdr:rowOff>
    </xdr:to>
    <mc:AlternateContent xmlns:mc="http://schemas.openxmlformats.org/markup-compatibility/2006" xmlns:a14="http://schemas.microsoft.com/office/drawing/2010/main">
      <mc:Choice Requires="a14">
        <xdr:graphicFrame macro="">
          <xdr:nvGraphicFramePr>
            <xdr:cNvPr id="10" name="Rating Category 1">
              <a:extLst>
                <a:ext uri="{FF2B5EF4-FFF2-40B4-BE49-F238E27FC236}">
                  <a16:creationId xmlns:a16="http://schemas.microsoft.com/office/drawing/2014/main" id="{A53CD0BF-1E90-4821-B76B-88A4B9CD89B6}"/>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371809" y="2940293"/>
              <a:ext cx="1705234" cy="1766378"/>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360922</xdr:colOff>
      <xdr:row>26</xdr:row>
      <xdr:rowOff>125455</xdr:rowOff>
    </xdr:from>
    <xdr:to>
      <xdr:col>3</xdr:col>
      <xdr:colOff>251925</xdr:colOff>
      <xdr:row>35</xdr:row>
      <xdr:rowOff>163054</xdr:rowOff>
    </xdr:to>
    <mc:AlternateContent xmlns:mc="http://schemas.openxmlformats.org/markup-compatibility/2006" xmlns:a14="http://schemas.microsoft.com/office/drawing/2010/main">
      <mc:Choice Requires="a14">
        <xdr:graphicFrame macro="">
          <xdr:nvGraphicFramePr>
            <xdr:cNvPr id="12" name="Discount category 1">
              <a:extLst>
                <a:ext uri="{FF2B5EF4-FFF2-40B4-BE49-F238E27FC236}">
                  <a16:creationId xmlns:a16="http://schemas.microsoft.com/office/drawing/2014/main" id="{E8D5CCC2-FA9D-43FD-83DA-8873396EFDEE}"/>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360922" y="4878334"/>
              <a:ext cx="1709412" cy="168282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340557</xdr:colOff>
      <xdr:row>36</xdr:row>
      <xdr:rowOff>109317</xdr:rowOff>
    </xdr:from>
    <xdr:to>
      <xdr:col>3</xdr:col>
      <xdr:colOff>248990</xdr:colOff>
      <xdr:row>50</xdr:row>
      <xdr:rowOff>27751</xdr:rowOff>
    </xdr:to>
    <mc:AlternateContent xmlns:mc="http://schemas.openxmlformats.org/markup-compatibility/2006" xmlns:a14="http://schemas.microsoft.com/office/drawing/2010/main">
      <mc:Choice Requires="a14">
        <xdr:graphicFrame macro="">
          <xdr:nvGraphicFramePr>
            <xdr:cNvPr id="13" name="Price range 1">
              <a:extLst>
                <a:ext uri="{FF2B5EF4-FFF2-40B4-BE49-F238E27FC236}">
                  <a16:creationId xmlns:a16="http://schemas.microsoft.com/office/drawing/2014/main" id="{D0E3C021-DBA8-4166-B82A-495DFC26FA6D}"/>
                </a:ext>
              </a:extLst>
            </xdr:cNvPr>
            <xdr:cNvGraphicFramePr/>
          </xdr:nvGraphicFramePr>
          <xdr:xfrm>
            <a:off x="0" y="0"/>
            <a:ext cx="0" cy="0"/>
          </xdr:xfrm>
          <a:graphic>
            <a:graphicData uri="http://schemas.microsoft.com/office/drawing/2010/slicer">
              <sle:slicer xmlns:sle="http://schemas.microsoft.com/office/drawing/2010/slicer" name="Price range 1"/>
            </a:graphicData>
          </a:graphic>
        </xdr:graphicFrame>
      </mc:Choice>
      <mc:Fallback xmlns="">
        <xdr:sp macro="" textlink="">
          <xdr:nvSpPr>
            <xdr:cNvPr id="0" name=""/>
            <xdr:cNvSpPr>
              <a:spLocks noTextEdit="1"/>
            </xdr:cNvSpPr>
          </xdr:nvSpPr>
          <xdr:spPr>
            <a:xfrm>
              <a:off x="340557" y="6690226"/>
              <a:ext cx="1726842" cy="2477677"/>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21896</xdr:colOff>
      <xdr:row>14</xdr:row>
      <xdr:rowOff>144318</xdr:rowOff>
    </xdr:from>
    <xdr:to>
      <xdr:col>9</xdr:col>
      <xdr:colOff>284656</xdr:colOff>
      <xdr:row>27</xdr:row>
      <xdr:rowOff>163560</xdr:rowOff>
    </xdr:to>
    <xdr:graphicFrame macro="">
      <xdr:nvGraphicFramePr>
        <xdr:cNvPr id="14" name="Chart 13">
          <a:extLst>
            <a:ext uri="{FF2B5EF4-FFF2-40B4-BE49-F238E27FC236}">
              <a16:creationId xmlns:a16="http://schemas.microsoft.com/office/drawing/2014/main" id="{D093BE17-FD6C-47F5-A62D-54841D149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567652</xdr:colOff>
      <xdr:row>29</xdr:row>
      <xdr:rowOff>10285</xdr:rowOff>
    </xdr:from>
    <xdr:to>
      <xdr:col>9</xdr:col>
      <xdr:colOff>257286</xdr:colOff>
      <xdr:row>42</xdr:row>
      <xdr:rowOff>19243</xdr:rowOff>
    </xdr:to>
    <xdr:graphicFrame macro="">
      <xdr:nvGraphicFramePr>
        <xdr:cNvPr id="15" name="Chart 14">
          <a:extLst>
            <a:ext uri="{FF2B5EF4-FFF2-40B4-BE49-F238E27FC236}">
              <a16:creationId xmlns:a16="http://schemas.microsoft.com/office/drawing/2014/main" id="{D68D97A3-C158-481A-98B7-E109FB9A1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99993</xdr:colOff>
      <xdr:row>9</xdr:row>
      <xdr:rowOff>71300</xdr:rowOff>
    </xdr:from>
    <xdr:to>
      <xdr:col>7</xdr:col>
      <xdr:colOff>215447</xdr:colOff>
      <xdr:row>13</xdr:row>
      <xdr:rowOff>73704</xdr:rowOff>
    </xdr:to>
    <xdr:sp macro="" textlink="">
      <xdr:nvSpPr>
        <xdr:cNvPr id="16" name="Rectangle: Rounded Corners 15">
          <a:extLst>
            <a:ext uri="{FF2B5EF4-FFF2-40B4-BE49-F238E27FC236}">
              <a16:creationId xmlns:a16="http://schemas.microsoft.com/office/drawing/2014/main" id="{50F91851-86F0-5CB0-10F4-EAE274BFDE9C}"/>
            </a:ext>
          </a:extLst>
        </xdr:cNvPr>
        <xdr:cNvSpPr/>
      </xdr:nvSpPr>
      <xdr:spPr>
        <a:xfrm>
          <a:off x="2549279" y="1755184"/>
          <a:ext cx="1952418" cy="750797"/>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1400" b="1">
              <a:solidFill>
                <a:schemeClr val="accent1">
                  <a:lumMod val="50000"/>
                </a:schemeClr>
              </a:solidFill>
            </a:rPr>
            <a:t>Average</a:t>
          </a:r>
          <a:r>
            <a:rPr lang="en-GB" sz="1400" b="1" baseline="0">
              <a:solidFill>
                <a:schemeClr val="accent1">
                  <a:lumMod val="50000"/>
                </a:schemeClr>
              </a:solidFill>
            </a:rPr>
            <a:t> Current Price</a:t>
          </a:r>
        </a:p>
        <a:p>
          <a:pPr algn="l"/>
          <a:r>
            <a:rPr lang="en-GB" sz="1400" b="1" i="0" u="none" strike="noStrike">
              <a:solidFill>
                <a:schemeClr val="accent1">
                  <a:lumMod val="50000"/>
                </a:schemeClr>
              </a:solidFill>
              <a:effectLst/>
              <a:latin typeface="+mn-lt"/>
              <a:ea typeface="+mn-ea"/>
              <a:cs typeface="+mn-cs"/>
            </a:rPr>
            <a:t>Ksh1,208.26</a:t>
          </a:r>
          <a:r>
            <a:rPr lang="en-GB" sz="1400">
              <a:solidFill>
                <a:schemeClr val="accent1">
                  <a:lumMod val="50000"/>
                </a:schemeClr>
              </a:solidFill>
              <a:effectLst/>
            </a:rPr>
            <a:t> </a:t>
          </a:r>
          <a:endParaRPr lang="en-KE" sz="1400" b="1">
            <a:solidFill>
              <a:schemeClr val="accent1">
                <a:lumMod val="50000"/>
              </a:schemeClr>
            </a:solidFill>
          </a:endParaRPr>
        </a:p>
      </xdr:txBody>
    </xdr:sp>
    <xdr:clientData/>
  </xdr:twoCellAnchor>
  <xdr:twoCellAnchor>
    <xdr:from>
      <xdr:col>7</xdr:col>
      <xdr:colOff>581746</xdr:colOff>
      <xdr:row>9</xdr:row>
      <xdr:rowOff>67529</xdr:rowOff>
    </xdr:from>
    <xdr:to>
      <xdr:col>10</xdr:col>
      <xdr:colOff>538617</xdr:colOff>
      <xdr:row>13</xdr:row>
      <xdr:rowOff>85044</xdr:rowOff>
    </xdr:to>
    <xdr:sp macro="" textlink="">
      <xdr:nvSpPr>
        <xdr:cNvPr id="17" name="Rectangle: Rounded Corners 16">
          <a:extLst>
            <a:ext uri="{FF2B5EF4-FFF2-40B4-BE49-F238E27FC236}">
              <a16:creationId xmlns:a16="http://schemas.microsoft.com/office/drawing/2014/main" id="{00580088-6769-42FB-95C6-F8A82164117C}"/>
            </a:ext>
          </a:extLst>
        </xdr:cNvPr>
        <xdr:cNvSpPr/>
      </xdr:nvSpPr>
      <xdr:spPr>
        <a:xfrm>
          <a:off x="4867996" y="1751413"/>
          <a:ext cx="1793835" cy="765908"/>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1400" b="1">
              <a:solidFill>
                <a:schemeClr val="accent1">
                  <a:lumMod val="50000"/>
                </a:schemeClr>
              </a:solidFill>
            </a:rPr>
            <a:t>Average Old Price</a:t>
          </a:r>
        </a:p>
        <a:p>
          <a:pPr algn="l"/>
          <a:r>
            <a:rPr lang="en-GB" sz="1400" b="1" i="0">
              <a:solidFill>
                <a:schemeClr val="accent1">
                  <a:lumMod val="50000"/>
                </a:schemeClr>
              </a:solidFill>
              <a:effectLst/>
              <a:latin typeface="+mn-lt"/>
              <a:ea typeface="+mn-ea"/>
              <a:cs typeface="+mn-cs"/>
            </a:rPr>
            <a:t>Ksh1,837.75</a:t>
          </a:r>
          <a:endParaRPr lang="en-GB" sz="1400" b="1">
            <a:solidFill>
              <a:schemeClr val="accent1">
                <a:lumMod val="50000"/>
              </a:schemeClr>
            </a:solidFill>
          </a:endParaRPr>
        </a:p>
        <a:p>
          <a:pPr algn="l"/>
          <a:endParaRPr lang="en-KE" sz="1400" b="1"/>
        </a:p>
      </xdr:txBody>
    </xdr:sp>
    <xdr:clientData/>
  </xdr:twoCellAnchor>
  <xdr:twoCellAnchor>
    <xdr:from>
      <xdr:col>11</xdr:col>
      <xdr:colOff>297756</xdr:colOff>
      <xdr:row>9</xdr:row>
      <xdr:rowOff>79564</xdr:rowOff>
    </xdr:from>
    <xdr:to>
      <xdr:col>14</xdr:col>
      <xdr:colOff>300491</xdr:colOff>
      <xdr:row>13</xdr:row>
      <xdr:rowOff>62366</xdr:rowOff>
    </xdr:to>
    <xdr:sp macro="" textlink="">
      <xdr:nvSpPr>
        <xdr:cNvPr id="18" name="Rectangle: Rounded Corners 17">
          <a:extLst>
            <a:ext uri="{FF2B5EF4-FFF2-40B4-BE49-F238E27FC236}">
              <a16:creationId xmlns:a16="http://schemas.microsoft.com/office/drawing/2014/main" id="{952AE786-EFED-4E04-8E4C-B0A60203D8CC}"/>
            </a:ext>
          </a:extLst>
        </xdr:cNvPr>
        <xdr:cNvSpPr/>
      </xdr:nvSpPr>
      <xdr:spPr>
        <a:xfrm>
          <a:off x="7033292" y="1763448"/>
          <a:ext cx="1839699" cy="73119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1400" b="1">
              <a:solidFill>
                <a:schemeClr val="accent1">
                  <a:lumMod val="50000"/>
                </a:schemeClr>
              </a:solidFill>
            </a:rPr>
            <a:t>Discount percentage</a:t>
          </a:r>
        </a:p>
        <a:p>
          <a:pPr algn="l"/>
          <a:r>
            <a:rPr lang="en-KE" sz="1400" b="1" i="0" u="none" strike="noStrike">
              <a:solidFill>
                <a:schemeClr val="accent1">
                  <a:lumMod val="50000"/>
                </a:schemeClr>
              </a:solidFill>
              <a:effectLst/>
              <a:latin typeface="+mn-lt"/>
              <a:ea typeface="+mn-ea"/>
              <a:cs typeface="+mn-cs"/>
            </a:rPr>
            <a:t>37.39%</a:t>
          </a:r>
          <a:r>
            <a:rPr lang="en-KE" sz="1400" b="1">
              <a:solidFill>
                <a:schemeClr val="accent1">
                  <a:lumMod val="50000"/>
                </a:schemeClr>
              </a:solidFill>
              <a:effectLst/>
            </a:rPr>
            <a:t> </a:t>
          </a:r>
          <a:endParaRPr lang="en-KE" sz="1400" b="1">
            <a:solidFill>
              <a:schemeClr val="accent1">
                <a:lumMod val="50000"/>
              </a:schemeClr>
            </a:solidFill>
          </a:endParaRPr>
        </a:p>
      </xdr:txBody>
    </xdr:sp>
    <xdr:clientData/>
  </xdr:twoCellAnchor>
  <xdr:twoCellAnchor>
    <xdr:from>
      <xdr:col>15</xdr:col>
      <xdr:colOff>107745</xdr:colOff>
      <xdr:row>9</xdr:row>
      <xdr:rowOff>97266</xdr:rowOff>
    </xdr:from>
    <xdr:to>
      <xdr:col>17</xdr:col>
      <xdr:colOff>430894</xdr:colOff>
      <xdr:row>13</xdr:row>
      <xdr:rowOff>56697</xdr:rowOff>
    </xdr:to>
    <xdr:sp macro="" textlink="">
      <xdr:nvSpPr>
        <xdr:cNvPr id="19" name="Rectangle: Rounded Corners 18">
          <a:extLst>
            <a:ext uri="{FF2B5EF4-FFF2-40B4-BE49-F238E27FC236}">
              <a16:creationId xmlns:a16="http://schemas.microsoft.com/office/drawing/2014/main" id="{07AAF72C-A0B1-49D9-83E7-0D591F31D8F3}"/>
            </a:ext>
          </a:extLst>
        </xdr:cNvPr>
        <xdr:cNvSpPr/>
      </xdr:nvSpPr>
      <xdr:spPr>
        <a:xfrm>
          <a:off x="9292566" y="1781150"/>
          <a:ext cx="1547792" cy="707824"/>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1400" b="1">
              <a:solidFill>
                <a:schemeClr val="accent1">
                  <a:lumMod val="50000"/>
                </a:schemeClr>
              </a:solidFill>
            </a:rPr>
            <a:t>Average Rating</a:t>
          </a:r>
        </a:p>
        <a:p>
          <a:pPr algn="l"/>
          <a:r>
            <a:rPr lang="en-KE" sz="1400" b="1" i="0" u="none" strike="noStrike">
              <a:solidFill>
                <a:schemeClr val="accent1">
                  <a:lumMod val="50000"/>
                </a:schemeClr>
              </a:solidFill>
              <a:effectLst/>
              <a:latin typeface="+mn-lt"/>
              <a:ea typeface="+mn-ea"/>
              <a:cs typeface="+mn-cs"/>
            </a:rPr>
            <a:t>3.846788991</a:t>
          </a:r>
          <a:r>
            <a:rPr lang="en-KE" sz="1400" b="1">
              <a:solidFill>
                <a:schemeClr val="accent1">
                  <a:lumMod val="50000"/>
                </a:schemeClr>
              </a:solidFill>
              <a:effectLst/>
            </a:rPr>
            <a:t> </a:t>
          </a:r>
          <a:endParaRPr lang="en-KE" sz="1400" b="1">
            <a:solidFill>
              <a:schemeClr val="accent1">
                <a:lumMod val="50000"/>
              </a:schemeClr>
            </a:solidFill>
          </a:endParaRPr>
        </a:p>
      </xdr:txBody>
    </xdr:sp>
    <xdr:clientData/>
  </xdr:twoCellAnchor>
  <xdr:twoCellAnchor>
    <xdr:from>
      <xdr:col>9</xdr:col>
      <xdr:colOff>515938</xdr:colOff>
      <xdr:row>43</xdr:row>
      <xdr:rowOff>51027</xdr:rowOff>
    </xdr:from>
    <xdr:to>
      <xdr:col>15</xdr:col>
      <xdr:colOff>419554</xdr:colOff>
      <xdr:row>56</xdr:row>
      <xdr:rowOff>102053</xdr:rowOff>
    </xdr:to>
    <xdr:graphicFrame macro="">
      <xdr:nvGraphicFramePr>
        <xdr:cNvPr id="11" name="Chart 10">
          <a:extLst>
            <a:ext uri="{FF2B5EF4-FFF2-40B4-BE49-F238E27FC236}">
              <a16:creationId xmlns:a16="http://schemas.microsoft.com/office/drawing/2014/main" id="{ABA28800-D6A0-4208-BCB0-DF9C5F0F7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583973</xdr:colOff>
      <xdr:row>57</xdr:row>
      <xdr:rowOff>79376</xdr:rowOff>
    </xdr:from>
    <xdr:to>
      <xdr:col>9</xdr:col>
      <xdr:colOff>294821</xdr:colOff>
      <xdr:row>70</xdr:row>
      <xdr:rowOff>85045</xdr:rowOff>
    </xdr:to>
    <xdr:graphicFrame macro="">
      <xdr:nvGraphicFramePr>
        <xdr:cNvPr id="20" name="Chart 19">
          <a:extLst>
            <a:ext uri="{FF2B5EF4-FFF2-40B4-BE49-F238E27FC236}">
              <a16:creationId xmlns:a16="http://schemas.microsoft.com/office/drawing/2014/main" id="{4A248652-F4CE-49D3-851D-530CA9482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354012</xdr:colOff>
      <xdr:row>2</xdr:row>
      <xdr:rowOff>171450</xdr:rowOff>
    </xdr:from>
    <xdr:to>
      <xdr:col>8</xdr:col>
      <xdr:colOff>128587</xdr:colOff>
      <xdr:row>17</xdr:row>
      <xdr:rowOff>104775</xdr:rowOff>
    </xdr:to>
    <xdr:graphicFrame macro="">
      <xdr:nvGraphicFramePr>
        <xdr:cNvPr id="2" name="Chart 1">
          <a:extLst>
            <a:ext uri="{FF2B5EF4-FFF2-40B4-BE49-F238E27FC236}">
              <a16:creationId xmlns:a16="http://schemas.microsoft.com/office/drawing/2014/main" id="{3BD03A86-2D3D-804D-F7DD-A802F2FBA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295275</xdr:colOff>
      <xdr:row>3</xdr:row>
      <xdr:rowOff>101600</xdr:rowOff>
    </xdr:from>
    <xdr:to>
      <xdr:col>9</xdr:col>
      <xdr:colOff>600075</xdr:colOff>
      <xdr:row>18</xdr:row>
      <xdr:rowOff>34925</xdr:rowOff>
    </xdr:to>
    <xdr:graphicFrame macro="">
      <xdr:nvGraphicFramePr>
        <xdr:cNvPr id="2" name="Chart 1">
          <a:extLst>
            <a:ext uri="{FF2B5EF4-FFF2-40B4-BE49-F238E27FC236}">
              <a16:creationId xmlns:a16="http://schemas.microsoft.com/office/drawing/2014/main" id="{0B0CACC7-E30A-E5C8-1851-BA3D2F62C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846137</xdr:colOff>
      <xdr:row>5</xdr:row>
      <xdr:rowOff>101600</xdr:rowOff>
    </xdr:from>
    <xdr:to>
      <xdr:col>9</xdr:col>
      <xdr:colOff>109537</xdr:colOff>
      <xdr:row>20</xdr:row>
      <xdr:rowOff>34925</xdr:rowOff>
    </xdr:to>
    <xdr:graphicFrame macro="">
      <xdr:nvGraphicFramePr>
        <xdr:cNvPr id="2" name="Chart 1">
          <a:extLst>
            <a:ext uri="{FF2B5EF4-FFF2-40B4-BE49-F238E27FC236}">
              <a16:creationId xmlns:a16="http://schemas.microsoft.com/office/drawing/2014/main" id="{5F7C8E2D-EB14-1EB3-B8F1-3E8288951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1.643270370369" createdVersion="8" refreshedVersion="8" minRefreshableVersion="3" recordCount="110" xr:uid="{0B22D735-DCA4-4CE7-B9D9-87300C872698}">
  <cacheSource type="worksheet">
    <worksheetSource ref="A1:J111" sheet="Excel_jumia"/>
  </cacheSource>
  <cacheFields count="10">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164">
      <sharedItems containsSemiMixedTypes="0" containsString="0" containsNumber="1" minValue="38" maxValue="3750"/>
    </cacheField>
    <cacheField name="old price" numFmtId="164">
      <sharedItems containsSemiMixedTypes="0" containsString="0" containsNumber="1" minValue="80" maxValue="6143"/>
    </cacheField>
    <cacheField name="Discount Amount" numFmtId="164">
      <sharedItems containsString="0" containsBlank="1" containsNumber="1" containsInteger="1" minValue="24" maxValue="2585" count="101">
        <n v="575"/>
        <n v="472"/>
        <n v="724"/>
        <n v="919"/>
        <n v="616"/>
        <n v="291"/>
        <n v="713"/>
        <n v="592"/>
        <n v="1526"/>
        <n v="1329"/>
        <n v="200"/>
        <n v="510"/>
        <n v="483"/>
        <n v="359"/>
        <n v="819"/>
        <n v="352"/>
        <n v="165"/>
        <n v="1946"/>
        <n v="700"/>
        <n v="968"/>
        <n v="42"/>
        <n v="1360"/>
        <n v="470"/>
        <n v="500"/>
        <n v="2452"/>
        <n v="227"/>
        <n v="640"/>
        <n v="741"/>
        <n v="1880"/>
        <n v="197"/>
        <n v="1670"/>
        <n v="710"/>
        <n v="719"/>
        <n v="1070"/>
        <n v="189"/>
        <n v="267"/>
        <n v="900"/>
        <n v="1721"/>
        <n v="456"/>
        <n v="238"/>
        <n v="450"/>
        <n v="37"/>
        <n v="1001"/>
        <n v="595"/>
        <n v="645"/>
        <n v="750"/>
        <n v="305"/>
        <n v="301"/>
        <n v="39"/>
        <n v="85"/>
        <n v="40"/>
        <n v="544"/>
        <n v="401"/>
        <n v="644"/>
        <n v="768"/>
        <n v="1011"/>
        <n v="330"/>
        <n v="528"/>
        <n v="2585"/>
        <n v="428"/>
        <n v="355"/>
        <n v="335"/>
        <n v="824"/>
        <n v="1000"/>
        <n v="2393"/>
        <n v="318"/>
        <n v="940"/>
        <n v="257"/>
        <n v="390"/>
        <n v="846"/>
        <n v="1418"/>
        <n v="695"/>
        <n v="67"/>
        <n v="220"/>
        <n v="1010"/>
        <n v="941"/>
        <n v="830"/>
        <n v="33"/>
        <n v="317"/>
        <n v="233"/>
        <n v="263"/>
        <n v="101"/>
        <n v="231"/>
        <n v="850"/>
        <n v="1200"/>
        <n v="95"/>
        <n v="800"/>
        <n v="134"/>
        <n v="153"/>
        <n v="504"/>
        <n v="794"/>
        <n v="948"/>
        <n v="24"/>
        <n v="62"/>
        <n v="587"/>
        <n v="620"/>
        <n v="41"/>
        <n v="31"/>
        <n v="354"/>
        <n v="151"/>
        <m/>
      </sharedItems>
      <fieldGroup base="3">
        <rangePr startNum="24" endNum="2585" groupInterval="500"/>
        <groupItems count="8">
          <s v="(blank)"/>
          <s v="24-523"/>
          <s v="524-1023"/>
          <s v="1024-1523"/>
          <s v="1524-2023"/>
          <s v="2024-2523"/>
          <s v="2524-3023"/>
          <s v="&gt;3024"/>
        </groupItems>
      </fieldGroup>
    </cacheField>
    <cacheField name="Price range" numFmtId="164">
      <sharedItems containsString="0" containsBlank="1" containsNumber="1" containsInteger="1" minValue="24" maxValue="2585" count="101">
        <n v="575"/>
        <n v="472"/>
        <n v="724"/>
        <n v="919"/>
        <n v="616"/>
        <n v="291"/>
        <n v="713"/>
        <n v="592"/>
        <n v="1526"/>
        <n v="1329"/>
        <n v="200"/>
        <n v="510"/>
        <n v="483"/>
        <n v="359"/>
        <n v="819"/>
        <n v="352"/>
        <n v="165"/>
        <n v="1946"/>
        <n v="700"/>
        <n v="968"/>
        <n v="42"/>
        <n v="1360"/>
        <n v="470"/>
        <n v="500"/>
        <n v="2452"/>
        <n v="227"/>
        <n v="640"/>
        <n v="741"/>
        <n v="1880"/>
        <n v="197"/>
        <n v="1670"/>
        <n v="710"/>
        <n v="719"/>
        <n v="1070"/>
        <n v="189"/>
        <n v="267"/>
        <n v="900"/>
        <n v="1721"/>
        <n v="456"/>
        <n v="238"/>
        <n v="450"/>
        <n v="37"/>
        <n v="1001"/>
        <n v="595"/>
        <n v="645"/>
        <n v="750"/>
        <n v="305"/>
        <n v="301"/>
        <n v="39"/>
        <n v="85"/>
        <n v="40"/>
        <n v="544"/>
        <n v="401"/>
        <n v="644"/>
        <n v="768"/>
        <n v="1011"/>
        <n v="330"/>
        <n v="528"/>
        <n v="2585"/>
        <n v="428"/>
        <n v="355"/>
        <n v="335"/>
        <n v="824"/>
        <n v="1000"/>
        <n v="2393"/>
        <n v="318"/>
        <n v="940"/>
        <n v="257"/>
        <n v="390"/>
        <n v="846"/>
        <n v="1418"/>
        <n v="695"/>
        <n v="67"/>
        <n v="220"/>
        <n v="1010"/>
        <n v="941"/>
        <n v="830"/>
        <n v="33"/>
        <n v="317"/>
        <n v="233"/>
        <n v="263"/>
        <n v="101"/>
        <n v="231"/>
        <n v="850"/>
        <n v="1200"/>
        <n v="95"/>
        <n v="800"/>
        <n v="134"/>
        <n v="153"/>
        <n v="504"/>
        <n v="794"/>
        <n v="948"/>
        <n v="24"/>
        <n v="62"/>
        <n v="587"/>
        <n v="620"/>
        <n v="41"/>
        <n v="31"/>
        <n v="354"/>
        <n v="151"/>
        <m/>
      </sharedItems>
    </cacheField>
    <cacheField name="Discount" numFmtId="10">
      <sharedItems containsSemiMixedTypes="0" containsString="0" containsNumber="1" minValue="1.705855232826187E-2" maxValue="0.60515873015873012" count="85">
        <n v="0.37704918032786883"/>
        <n v="0.47247247247247248"/>
        <n v="0.24769072870338693"/>
        <n v="0.36774709883953582"/>
        <n v="0.26146010186757218"/>
        <n v="8.8449848024316116E-2"/>
        <n v="0.23515831134564644"/>
        <n v="0.37468354430379747"/>
        <n v="0.54500000000000004"/>
        <n v="0.45373847729600547"/>
        <n v="0.20020020020020021"/>
        <n v="0.34"/>
        <n v="0.46666666666666667"/>
        <n v="0.41744186046511628"/>
        <n v="0.32773109243697479"/>
        <n v="0.51461988304093564"/>
        <n v="0.45833333333333331"/>
        <n v="0.49005288340468395"/>
        <n v="0.18924033522573669"/>
        <n v="0.49237029501525942"/>
        <n v="0.52500000000000002"/>
        <n v="0.42236024844720499"/>
        <n v="0.34814814814814815"/>
        <n v="0.23255813953488372"/>
        <n v="0.54488888888888887"/>
        <n v="0.3508500772797527"/>
        <n v="0.18181818181818182"/>
        <n v="0.32160804020100503"/>
        <n v="0.2965186074429772"/>
        <n v="0.46078431372549017"/>
        <n v="0.51570680628272247"/>
        <n v="0.34228187919463088"/>
        <n v="0.47851002865329512"/>
        <n v="0.26792452830188679"/>
        <n v="0.26639496109670247"/>
        <n v="0.39776951672862454"/>
        <n v="0.40701219512195119"/>
        <n v="0.33333333333333331"/>
        <n v="0.38492507269067322"/>
        <n v="0.48979591836734693"/>
        <n v="0.5"/>
        <n v="0.42452830188679247"/>
        <n v="1.705855232826187E-2"/>
        <n v="0.50049999999999994"/>
        <n v="0.49012158054711247"/>
        <n v="0.38461538461538464"/>
        <n v="0.60515873015873012"/>
        <n v="0.50166666666666671"/>
        <n v="2.2954679223072396E-2"/>
        <n v="0.22135416666666666"/>
        <n v="2.6684456304202801E-2"/>
        <n v="0.4050632911392405"/>
        <n v="0.44555555555555554"/>
        <n v="0.47952345495160087"/>
        <n v="0.49010848755583919"/>
        <n v="0.26535433070866143"/>
        <n v="0.13200000000000001"/>
        <n v="0.53549695740365111"/>
        <n v="0.55000000000000004"/>
        <n v="0.49026345933562426"/>
        <n v="0.5220588235294118"/>
        <n v="0.21543408360128619"/>
        <n v="0.45424476295479604"/>
        <n v="0.38954908025394758"/>
        <n v="0.45428571428571429"/>
        <n v="0.29012345679012347"/>
        <n v="0.42691029900332228"/>
        <n v="0.43381535038932145"/>
        <n v="0.46637265711135611"/>
        <n v="0.4745649263721553"/>
        <n v="0.46801346801346799"/>
        <n v="0.42499999999999999"/>
        <n v="3.7242912729294052E-2"/>
        <n v="0.48888888888888887"/>
        <n v="0.45929968167348795"/>
        <n v="0.49010416666666667"/>
        <n v="0.36244541484716158"/>
        <n v="1.9423190111830489E-2"/>
        <n v="0.48995363214837712"/>
        <n v="0.13713949381989404"/>
        <n v="0.48975791433891991"/>
        <n v="0.11222222222222222"/>
        <n v="0.13596233078281342"/>
        <n v="0.42727272727272725"/>
        <n v="0.37391729300471349"/>
      </sharedItems>
      <fieldGroup base="5">
        <rangePr startNum="1.705855232826187E-2" endNum="0.60515873015873012" groupInterval="0.09"/>
        <groupItems count="9">
          <s v="&lt;0.0170585523282619"/>
          <s v="0.0170585523282619-0.107058552328262"/>
          <s v="0.107058552328262-0.197058552328262"/>
          <s v="0.197058552328262-0.287058552328262"/>
          <s v="0.287058552328262-0.377058552328262"/>
          <s v="0.377058552328262-0.467058552328262"/>
          <s v="0.467058552328262-0.557058552328262"/>
          <s v="0.557058552328262-0.647058552328262"/>
          <s v="&gt;0.647058552328262"/>
        </groupItems>
      </fieldGroup>
    </cacheField>
    <cacheField name="Review" numFmtId="0">
      <sharedItems containsSemiMixedTypes="0" containsString="0" containsNumber="1" minValue="0" maxValue="69" count="25">
        <n v="2"/>
        <n v="14"/>
        <n v="24"/>
        <n v="7"/>
        <n v="5"/>
        <n v="15"/>
        <n v="55"/>
        <n v="12"/>
        <n v="39"/>
        <n v="6"/>
        <n v="9"/>
        <n v="3"/>
        <n v="44"/>
        <n v="13"/>
        <n v="0"/>
        <n v="49"/>
        <n v="20"/>
        <n v="32"/>
        <n v="1"/>
        <n v="36"/>
        <n v="10"/>
        <n v="69"/>
        <n v="16"/>
        <n v="17"/>
        <n v="6.6330275229357802"/>
      </sharedItems>
      <fieldGroup base="6">
        <rangePr startNum="0" endNum="69" groupInterval="10"/>
        <groupItems count="9">
          <s v="&lt;0"/>
          <s v="0-10"/>
          <s v="10-20"/>
          <s v="20-30"/>
          <s v="30-40"/>
          <s v="40-50"/>
          <s v="50-60"/>
          <s v="60-70"/>
          <s v="&gt;70"/>
        </groupItems>
      </fieldGroup>
    </cacheField>
    <cacheField name="Rating" numFmtId="0">
      <sharedItems containsSemiMixedTypes="0" containsString="0" containsNumber="1" minValue="2" maxValue="5" count="23">
        <n v="4.5"/>
        <n v="4.0999999999999996"/>
        <n v="4.5999999999999996"/>
        <n v="4.7"/>
        <n v="4.8"/>
        <n v="4"/>
        <n v="3.8"/>
        <n v="4.2"/>
        <n v="5"/>
        <n v="3.3"/>
        <n v="4.4000000000000004"/>
        <n v="4.3"/>
        <n v="2.5"/>
        <n v="3"/>
        <n v="2.1"/>
        <n v="2.8"/>
        <n v="2.7"/>
        <n v="2.9"/>
        <n v="2.2000000000000002"/>
        <n v="2.2999999999999998"/>
        <n v="2.6"/>
        <n v="2"/>
        <n v="3.8467889908256936"/>
      </sharedItems>
      <fieldGroup base="7">
        <rangePr startNum="2" endNum="5"/>
        <groupItems count="5">
          <s v="&lt;2"/>
          <s v="2-3"/>
          <s v="3-4"/>
          <s v="4-5"/>
          <s v="&gt;5"/>
        </groupItems>
      </fieldGroup>
    </cacheField>
    <cacheField name="Rating Category" numFmtId="0">
      <sharedItems containsBlank="1" count="4">
        <s v="Excellent"/>
        <s v="Average"/>
        <s v="Poor"/>
        <m/>
      </sharedItems>
    </cacheField>
    <cacheField name="Discount category" numFmtId="0">
      <sharedItems containsBlank="1" count="4">
        <s v="Medium Discount"/>
        <s v="High Discount"/>
        <s v="Low discount"/>
        <m/>
      </sharedItems>
    </cacheField>
  </cacheFields>
  <extLst>
    <ext xmlns:x14="http://schemas.microsoft.com/office/spreadsheetml/2009/9/main" uri="{725AE2AE-9491-48be-B2B4-4EB974FC3084}">
      <x14:pivotCacheDefinition pivotCacheId="772960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x v="0"/>
    <n v="950"/>
    <n v="1525"/>
    <x v="0"/>
    <x v="0"/>
    <x v="0"/>
    <x v="0"/>
    <x v="0"/>
    <x v="0"/>
    <x v="0"/>
  </r>
  <r>
    <x v="1"/>
    <n v="527"/>
    <n v="999"/>
    <x v="1"/>
    <x v="1"/>
    <x v="1"/>
    <x v="1"/>
    <x v="1"/>
    <x v="1"/>
    <x v="1"/>
  </r>
  <r>
    <x v="2"/>
    <n v="2199"/>
    <n v="2923"/>
    <x v="2"/>
    <x v="2"/>
    <x v="2"/>
    <x v="2"/>
    <x v="2"/>
    <x v="0"/>
    <x v="0"/>
  </r>
  <r>
    <x v="3"/>
    <n v="1580"/>
    <n v="2499"/>
    <x v="3"/>
    <x v="3"/>
    <x v="3"/>
    <x v="3"/>
    <x v="3"/>
    <x v="0"/>
    <x v="0"/>
  </r>
  <r>
    <x v="4"/>
    <n v="1740"/>
    <n v="2356"/>
    <x v="4"/>
    <x v="4"/>
    <x v="4"/>
    <x v="4"/>
    <x v="4"/>
    <x v="0"/>
    <x v="0"/>
  </r>
  <r>
    <x v="5"/>
    <n v="2999"/>
    <n v="3290"/>
    <x v="5"/>
    <x v="5"/>
    <x v="5"/>
    <x v="5"/>
    <x v="5"/>
    <x v="1"/>
    <x v="2"/>
  </r>
  <r>
    <x v="6"/>
    <n v="2319"/>
    <n v="3032"/>
    <x v="6"/>
    <x v="6"/>
    <x v="6"/>
    <x v="6"/>
    <x v="2"/>
    <x v="0"/>
    <x v="0"/>
  </r>
  <r>
    <x v="7"/>
    <n v="988"/>
    <n v="1580"/>
    <x v="7"/>
    <x v="7"/>
    <x v="7"/>
    <x v="0"/>
    <x v="5"/>
    <x v="1"/>
    <x v="0"/>
  </r>
  <r>
    <x v="8"/>
    <n v="1274"/>
    <n v="2800"/>
    <x v="8"/>
    <x v="8"/>
    <x v="8"/>
    <x v="4"/>
    <x v="4"/>
    <x v="0"/>
    <x v="1"/>
  </r>
  <r>
    <x v="9"/>
    <n v="1600"/>
    <n v="2929"/>
    <x v="9"/>
    <x v="9"/>
    <x v="9"/>
    <x v="4"/>
    <x v="6"/>
    <x v="1"/>
    <x v="1"/>
  </r>
  <r>
    <x v="10"/>
    <n v="799"/>
    <n v="999"/>
    <x v="10"/>
    <x v="10"/>
    <x v="10"/>
    <x v="7"/>
    <x v="1"/>
    <x v="1"/>
    <x v="0"/>
  </r>
  <r>
    <x v="11"/>
    <n v="990"/>
    <n v="1500"/>
    <x v="11"/>
    <x v="11"/>
    <x v="11"/>
    <x v="8"/>
    <x v="3"/>
    <x v="0"/>
    <x v="0"/>
  </r>
  <r>
    <x v="12"/>
    <n v="552"/>
    <n v="1035"/>
    <x v="12"/>
    <x v="12"/>
    <x v="12"/>
    <x v="7"/>
    <x v="4"/>
    <x v="0"/>
    <x v="1"/>
  </r>
  <r>
    <x v="13"/>
    <n v="501"/>
    <n v="860"/>
    <x v="13"/>
    <x v="13"/>
    <x v="13"/>
    <x v="9"/>
    <x v="0"/>
    <x v="0"/>
    <x v="1"/>
  </r>
  <r>
    <x v="14"/>
    <n v="1680"/>
    <n v="2499"/>
    <x v="14"/>
    <x v="14"/>
    <x v="14"/>
    <x v="10"/>
    <x v="7"/>
    <x v="1"/>
    <x v="0"/>
  </r>
  <r>
    <x v="15"/>
    <n v="332"/>
    <n v="684"/>
    <x v="15"/>
    <x v="15"/>
    <x v="15"/>
    <x v="0"/>
    <x v="8"/>
    <x v="0"/>
    <x v="1"/>
  </r>
  <r>
    <x v="16"/>
    <n v="195"/>
    <n v="360"/>
    <x v="16"/>
    <x v="16"/>
    <x v="16"/>
    <x v="0"/>
    <x v="8"/>
    <x v="0"/>
    <x v="1"/>
  </r>
  <r>
    <x v="17"/>
    <n v="2025"/>
    <n v="3971"/>
    <x v="17"/>
    <x v="17"/>
    <x v="17"/>
    <x v="11"/>
    <x v="8"/>
    <x v="0"/>
    <x v="1"/>
  </r>
  <r>
    <x v="18"/>
    <n v="2999"/>
    <n v="3699"/>
    <x v="18"/>
    <x v="18"/>
    <x v="18"/>
    <x v="4"/>
    <x v="2"/>
    <x v="0"/>
    <x v="2"/>
  </r>
  <r>
    <x v="19"/>
    <n v="998"/>
    <n v="1966"/>
    <x v="19"/>
    <x v="19"/>
    <x v="19"/>
    <x v="12"/>
    <x v="2"/>
    <x v="0"/>
    <x v="1"/>
  </r>
  <r>
    <x v="20"/>
    <n v="38"/>
    <n v="80"/>
    <x v="20"/>
    <x v="20"/>
    <x v="20"/>
    <x v="13"/>
    <x v="9"/>
    <x v="1"/>
    <x v="1"/>
  </r>
  <r>
    <x v="21"/>
    <n v="1860"/>
    <n v="3220"/>
    <x v="21"/>
    <x v="21"/>
    <x v="0"/>
    <x v="14"/>
    <x v="6"/>
    <x v="1"/>
    <x v="0"/>
  </r>
  <r>
    <x v="22"/>
    <n v="880"/>
    <n v="1350"/>
    <x v="22"/>
    <x v="22"/>
    <x v="1"/>
    <x v="9"/>
    <x v="5"/>
    <x v="1"/>
    <x v="1"/>
  </r>
  <r>
    <x v="23"/>
    <n v="1650"/>
    <n v="2150"/>
    <x v="23"/>
    <x v="23"/>
    <x v="2"/>
    <x v="1"/>
    <x v="10"/>
    <x v="1"/>
    <x v="0"/>
  </r>
  <r>
    <x v="24"/>
    <n v="2048"/>
    <n v="4500"/>
    <x v="24"/>
    <x v="24"/>
    <x v="3"/>
    <x v="3"/>
    <x v="11"/>
    <x v="1"/>
    <x v="0"/>
  </r>
  <r>
    <x v="25"/>
    <n v="420"/>
    <n v="647"/>
    <x v="25"/>
    <x v="25"/>
    <x v="4"/>
    <x v="15"/>
    <x v="2"/>
    <x v="0"/>
    <x v="0"/>
  </r>
  <r>
    <x v="26"/>
    <n v="2880"/>
    <n v="3520"/>
    <x v="26"/>
    <x v="26"/>
    <x v="5"/>
    <x v="7"/>
    <x v="6"/>
    <x v="1"/>
    <x v="2"/>
  </r>
  <r>
    <x v="27"/>
    <n v="1350"/>
    <n v="1990"/>
    <x v="26"/>
    <x v="26"/>
    <x v="6"/>
    <x v="13"/>
    <x v="6"/>
    <x v="1"/>
    <x v="0"/>
  </r>
  <r>
    <x v="28"/>
    <n v="1758"/>
    <n v="2499"/>
    <x v="27"/>
    <x v="27"/>
    <x v="7"/>
    <x v="16"/>
    <x v="1"/>
    <x v="1"/>
    <x v="0"/>
  </r>
  <r>
    <x v="29"/>
    <n v="2200"/>
    <n v="4080"/>
    <x v="28"/>
    <x v="28"/>
    <x v="8"/>
    <x v="14"/>
    <x v="6"/>
    <x v="1"/>
    <x v="1"/>
  </r>
  <r>
    <x v="30"/>
    <n v="185"/>
    <n v="382"/>
    <x v="29"/>
    <x v="29"/>
    <x v="9"/>
    <x v="10"/>
    <x v="11"/>
    <x v="1"/>
    <x v="1"/>
  </r>
  <r>
    <x v="31"/>
    <n v="980"/>
    <n v="1490"/>
    <x v="11"/>
    <x v="11"/>
    <x v="10"/>
    <x v="7"/>
    <x v="3"/>
    <x v="0"/>
    <x v="0"/>
  </r>
  <r>
    <x v="32"/>
    <n v="1820"/>
    <n v="3490"/>
    <x v="30"/>
    <x v="30"/>
    <x v="11"/>
    <x v="10"/>
    <x v="11"/>
    <x v="1"/>
    <x v="0"/>
  </r>
  <r>
    <x v="33"/>
    <n v="1940"/>
    <n v="2650"/>
    <x v="31"/>
    <x v="31"/>
    <x v="12"/>
    <x v="16"/>
    <x v="3"/>
    <x v="0"/>
    <x v="1"/>
  </r>
  <r>
    <x v="34"/>
    <n v="1980"/>
    <n v="2699"/>
    <x v="32"/>
    <x v="32"/>
    <x v="13"/>
    <x v="17"/>
    <x v="0"/>
    <x v="0"/>
    <x v="1"/>
  </r>
  <r>
    <x v="35"/>
    <n v="1620"/>
    <n v="2690"/>
    <x v="33"/>
    <x v="33"/>
    <x v="14"/>
    <x v="18"/>
    <x v="8"/>
    <x v="0"/>
    <x v="0"/>
  </r>
  <r>
    <x v="36"/>
    <n v="171"/>
    <n v="360"/>
    <x v="34"/>
    <x v="34"/>
    <x v="15"/>
    <x v="0"/>
    <x v="8"/>
    <x v="0"/>
    <x v="1"/>
  </r>
  <r>
    <x v="37"/>
    <n v="389"/>
    <n v="656"/>
    <x v="35"/>
    <x v="35"/>
    <x v="16"/>
    <x v="19"/>
    <x v="11"/>
    <x v="1"/>
    <x v="1"/>
  </r>
  <r>
    <x v="38"/>
    <n v="1800"/>
    <n v="2700"/>
    <x v="36"/>
    <x v="36"/>
    <x v="17"/>
    <x v="0"/>
    <x v="0"/>
    <x v="0"/>
    <x v="1"/>
  </r>
  <r>
    <x v="39"/>
    <n v="2750"/>
    <n v="4471"/>
    <x v="37"/>
    <x v="37"/>
    <x v="18"/>
    <x v="14"/>
    <x v="6"/>
    <x v="1"/>
    <x v="2"/>
  </r>
  <r>
    <x v="40"/>
    <n v="475"/>
    <n v="931"/>
    <x v="38"/>
    <x v="38"/>
    <x v="19"/>
    <x v="14"/>
    <x v="6"/>
    <x v="1"/>
    <x v="1"/>
  </r>
  <r>
    <x v="41"/>
    <n v="238"/>
    <n v="476"/>
    <x v="39"/>
    <x v="39"/>
    <x v="20"/>
    <x v="14"/>
    <x v="6"/>
    <x v="1"/>
    <x v="1"/>
  </r>
  <r>
    <x v="42"/>
    <n v="610"/>
    <n v="1060"/>
    <x v="40"/>
    <x v="40"/>
    <x v="21"/>
    <x v="14"/>
    <x v="6"/>
    <x v="1"/>
    <x v="1"/>
  </r>
  <r>
    <x v="43"/>
    <n v="2132"/>
    <n v="2169"/>
    <x v="41"/>
    <x v="41"/>
    <x v="22"/>
    <x v="14"/>
    <x v="6"/>
    <x v="1"/>
    <x v="0"/>
  </r>
  <r>
    <x v="44"/>
    <n v="999"/>
    <n v="2000"/>
    <x v="42"/>
    <x v="42"/>
    <x v="23"/>
    <x v="14"/>
    <x v="6"/>
    <x v="1"/>
    <x v="0"/>
  </r>
  <r>
    <x v="45"/>
    <n v="1190"/>
    <n v="1785"/>
    <x v="43"/>
    <x v="43"/>
    <x v="24"/>
    <x v="14"/>
    <x v="6"/>
    <x v="1"/>
    <x v="1"/>
  </r>
  <r>
    <x v="46"/>
    <n v="671"/>
    <n v="1316"/>
    <x v="44"/>
    <x v="44"/>
    <x v="25"/>
    <x v="14"/>
    <x v="6"/>
    <x v="1"/>
    <x v="0"/>
  </r>
  <r>
    <x v="47"/>
    <n v="1200"/>
    <n v="1950"/>
    <x v="45"/>
    <x v="45"/>
    <x v="26"/>
    <x v="14"/>
    <x v="6"/>
    <x v="1"/>
    <x v="2"/>
  </r>
  <r>
    <x v="48"/>
    <n v="199"/>
    <n v="504"/>
    <x v="46"/>
    <x v="46"/>
    <x v="27"/>
    <x v="14"/>
    <x v="6"/>
    <x v="1"/>
    <x v="0"/>
  </r>
  <r>
    <x v="49"/>
    <n v="299"/>
    <n v="600"/>
    <x v="47"/>
    <x v="47"/>
    <x v="28"/>
    <x v="14"/>
    <x v="6"/>
    <x v="1"/>
    <x v="0"/>
  </r>
  <r>
    <x v="50"/>
    <n v="1660"/>
    <n v="1699"/>
    <x v="48"/>
    <x v="48"/>
    <x v="29"/>
    <x v="14"/>
    <x v="6"/>
    <x v="1"/>
    <x v="1"/>
  </r>
  <r>
    <x v="51"/>
    <n v="299"/>
    <n v="384"/>
    <x v="49"/>
    <x v="49"/>
    <x v="30"/>
    <x v="14"/>
    <x v="6"/>
    <x v="1"/>
    <x v="1"/>
  </r>
  <r>
    <x v="52"/>
    <n v="1459"/>
    <n v="1499"/>
    <x v="50"/>
    <x v="50"/>
    <x v="31"/>
    <x v="14"/>
    <x v="6"/>
    <x v="1"/>
    <x v="0"/>
  </r>
  <r>
    <x v="53"/>
    <n v="799"/>
    <n v="1343"/>
    <x v="51"/>
    <x v="51"/>
    <x v="32"/>
    <x v="14"/>
    <x v="6"/>
    <x v="1"/>
    <x v="1"/>
  </r>
  <r>
    <x v="54"/>
    <n v="499"/>
    <n v="900"/>
    <x v="52"/>
    <x v="52"/>
    <x v="33"/>
    <x v="14"/>
    <x v="6"/>
    <x v="1"/>
    <x v="0"/>
  </r>
  <r>
    <x v="55"/>
    <n v="699"/>
    <n v="1343"/>
    <x v="53"/>
    <x v="53"/>
    <x v="34"/>
    <x v="14"/>
    <x v="6"/>
    <x v="1"/>
    <x v="0"/>
  </r>
  <r>
    <x v="56"/>
    <n v="799"/>
    <n v="1567"/>
    <x v="54"/>
    <x v="54"/>
    <x v="35"/>
    <x v="14"/>
    <x v="6"/>
    <x v="1"/>
    <x v="0"/>
  </r>
  <r>
    <x v="57"/>
    <n v="2799"/>
    <n v="3810"/>
    <x v="55"/>
    <x v="55"/>
    <x v="20"/>
    <x v="14"/>
    <x v="6"/>
    <x v="1"/>
    <x v="1"/>
  </r>
  <r>
    <x v="58"/>
    <n v="2170"/>
    <n v="2500"/>
    <x v="56"/>
    <x v="56"/>
    <x v="36"/>
    <x v="9"/>
    <x v="12"/>
    <x v="2"/>
    <x v="1"/>
  </r>
  <r>
    <x v="59"/>
    <n v="458"/>
    <n v="986"/>
    <x v="57"/>
    <x v="57"/>
    <x v="37"/>
    <x v="20"/>
    <x v="13"/>
    <x v="1"/>
    <x v="0"/>
  </r>
  <r>
    <x v="60"/>
    <n v="2115"/>
    <n v="4700"/>
    <x v="58"/>
    <x v="58"/>
    <x v="38"/>
    <x v="13"/>
    <x v="14"/>
    <x v="2"/>
    <x v="0"/>
  </r>
  <r>
    <x v="61"/>
    <n v="445"/>
    <n v="873"/>
    <x v="59"/>
    <x v="59"/>
    <x v="39"/>
    <x v="21"/>
    <x v="15"/>
    <x v="2"/>
    <x v="1"/>
  </r>
  <r>
    <x v="62"/>
    <n v="325"/>
    <n v="680"/>
    <x v="60"/>
    <x v="60"/>
    <x v="40"/>
    <x v="5"/>
    <x v="16"/>
    <x v="2"/>
    <x v="1"/>
  </r>
  <r>
    <x v="63"/>
    <n v="1220"/>
    <n v="1555"/>
    <x v="61"/>
    <x v="61"/>
    <x v="41"/>
    <x v="22"/>
    <x v="17"/>
    <x v="2"/>
    <x v="1"/>
  </r>
  <r>
    <x v="64"/>
    <n v="990"/>
    <n v="1814"/>
    <x v="62"/>
    <x v="62"/>
    <x v="42"/>
    <x v="9"/>
    <x v="18"/>
    <x v="2"/>
    <x v="2"/>
  </r>
  <r>
    <x v="65"/>
    <n v="1000"/>
    <n v="2000"/>
    <x v="63"/>
    <x v="63"/>
    <x v="43"/>
    <x v="3"/>
    <x v="19"/>
    <x v="2"/>
    <x v="1"/>
  </r>
  <r>
    <x v="66"/>
    <n v="3750"/>
    <n v="6143"/>
    <x v="64"/>
    <x v="64"/>
    <x v="37"/>
    <x v="4"/>
    <x v="13"/>
    <x v="1"/>
    <x v="0"/>
  </r>
  <r>
    <x v="67"/>
    <n v="382"/>
    <n v="700"/>
    <x v="65"/>
    <x v="65"/>
    <x v="44"/>
    <x v="23"/>
    <x v="20"/>
    <x v="2"/>
    <x v="1"/>
  </r>
  <r>
    <x v="68"/>
    <n v="2300"/>
    <n v="3240"/>
    <x v="66"/>
    <x v="66"/>
    <x v="45"/>
    <x v="4"/>
    <x v="13"/>
    <x v="1"/>
    <x v="0"/>
  </r>
  <r>
    <x v="69"/>
    <n v="345"/>
    <n v="602"/>
    <x v="67"/>
    <x v="67"/>
    <x v="46"/>
    <x v="9"/>
    <x v="19"/>
    <x v="2"/>
    <x v="1"/>
  </r>
  <r>
    <x v="70"/>
    <n v="509"/>
    <n v="899"/>
    <x v="68"/>
    <x v="68"/>
    <x v="47"/>
    <x v="4"/>
    <x v="13"/>
    <x v="1"/>
    <x v="1"/>
  </r>
  <r>
    <x v="71"/>
    <n v="968"/>
    <n v="1814"/>
    <x v="69"/>
    <x v="69"/>
    <x v="48"/>
    <x v="9"/>
    <x v="18"/>
    <x v="2"/>
    <x v="2"/>
  </r>
  <r>
    <x v="72"/>
    <n v="1570"/>
    <n v="2988"/>
    <x v="70"/>
    <x v="70"/>
    <x v="49"/>
    <x v="3"/>
    <x v="14"/>
    <x v="2"/>
    <x v="0"/>
  </r>
  <r>
    <x v="73"/>
    <n v="790"/>
    <n v="1485"/>
    <x v="71"/>
    <x v="71"/>
    <x v="50"/>
    <x v="14"/>
    <x v="6"/>
    <x v="1"/>
    <x v="2"/>
  </r>
  <r>
    <x v="74"/>
    <n v="690"/>
    <n v="1200"/>
    <x v="11"/>
    <x v="11"/>
    <x v="51"/>
    <x v="14"/>
    <x v="6"/>
    <x v="1"/>
    <x v="1"/>
  </r>
  <r>
    <x v="75"/>
    <n v="1732"/>
    <n v="1799"/>
    <x v="72"/>
    <x v="72"/>
    <x v="52"/>
    <x v="14"/>
    <x v="6"/>
    <x v="1"/>
    <x v="1"/>
  </r>
  <r>
    <x v="76"/>
    <n v="230"/>
    <n v="450"/>
    <x v="73"/>
    <x v="73"/>
    <x v="53"/>
    <x v="14"/>
    <x v="6"/>
    <x v="1"/>
    <x v="1"/>
  </r>
  <r>
    <x v="77"/>
    <n v="1189"/>
    <n v="2199"/>
    <x v="74"/>
    <x v="74"/>
    <x v="54"/>
    <x v="18"/>
    <x v="13"/>
    <x v="1"/>
    <x v="1"/>
  </r>
  <r>
    <x v="78"/>
    <n v="979"/>
    <n v="1920"/>
    <x v="75"/>
    <x v="75"/>
    <x v="55"/>
    <x v="18"/>
    <x v="8"/>
    <x v="0"/>
    <x v="0"/>
  </r>
  <r>
    <x v="79"/>
    <n v="1460"/>
    <n v="2290"/>
    <x v="76"/>
    <x v="76"/>
    <x v="56"/>
    <x v="14"/>
    <x v="6"/>
    <x v="1"/>
    <x v="2"/>
  </r>
  <r>
    <x v="80"/>
    <n v="1666"/>
    <n v="1699"/>
    <x v="77"/>
    <x v="77"/>
    <x v="57"/>
    <x v="14"/>
    <x v="6"/>
    <x v="1"/>
    <x v="1"/>
  </r>
  <r>
    <x v="81"/>
    <n v="330"/>
    <n v="647"/>
    <x v="78"/>
    <x v="78"/>
    <x v="58"/>
    <x v="18"/>
    <x v="5"/>
    <x v="1"/>
    <x v="1"/>
  </r>
  <r>
    <x v="82"/>
    <n v="1466"/>
    <n v="1699"/>
    <x v="79"/>
    <x v="79"/>
    <x v="59"/>
    <x v="14"/>
    <x v="6"/>
    <x v="1"/>
    <x v="1"/>
  </r>
  <r>
    <x v="83"/>
    <n v="274"/>
    <n v="537"/>
    <x v="80"/>
    <x v="80"/>
    <x v="60"/>
    <x v="14"/>
    <x v="6"/>
    <x v="1"/>
    <x v="1"/>
  </r>
  <r>
    <x v="84"/>
    <n v="799"/>
    <n v="900"/>
    <x v="81"/>
    <x v="81"/>
    <x v="61"/>
    <x v="14"/>
    <x v="6"/>
    <x v="1"/>
    <x v="0"/>
  </r>
  <r>
    <x v="85"/>
    <n v="1468"/>
    <n v="1699"/>
    <x v="82"/>
    <x v="82"/>
    <x v="62"/>
    <x v="14"/>
    <x v="6"/>
    <x v="1"/>
    <x v="1"/>
  </r>
  <r>
    <x v="86"/>
    <n v="630"/>
    <n v="1100"/>
    <x v="22"/>
    <x v="22"/>
    <x v="40"/>
    <x v="14"/>
    <x v="6"/>
    <x v="1"/>
    <x v="1"/>
  </r>
  <r>
    <x v="87"/>
    <n v="850"/>
    <n v="1700"/>
    <x v="83"/>
    <x v="83"/>
    <x v="63"/>
    <x v="14"/>
    <x v="6"/>
    <x v="1"/>
    <x v="0"/>
  </r>
  <r>
    <x v="88"/>
    <n v="1300"/>
    <n v="2500"/>
    <x v="84"/>
    <x v="84"/>
    <x v="64"/>
    <x v="14"/>
    <x v="6"/>
    <x v="1"/>
    <x v="1"/>
  </r>
  <r>
    <x v="89"/>
    <n v="105"/>
    <n v="200"/>
    <x v="85"/>
    <x v="85"/>
    <x v="65"/>
    <x v="14"/>
    <x v="6"/>
    <x v="1"/>
    <x v="0"/>
  </r>
  <r>
    <x v="90"/>
    <n v="899"/>
    <n v="1699"/>
    <x v="86"/>
    <x v="86"/>
    <x v="66"/>
    <x v="14"/>
    <x v="6"/>
    <x v="1"/>
    <x v="1"/>
  </r>
  <r>
    <x v="91"/>
    <n v="1200"/>
    <n v="2400"/>
    <x v="84"/>
    <x v="84"/>
    <x v="67"/>
    <x v="14"/>
    <x v="6"/>
    <x v="1"/>
    <x v="1"/>
  </r>
  <r>
    <x v="92"/>
    <n v="1526"/>
    <n v="1660"/>
    <x v="87"/>
    <x v="87"/>
    <x v="68"/>
    <x v="14"/>
    <x v="6"/>
    <x v="1"/>
    <x v="1"/>
  </r>
  <r>
    <x v="93"/>
    <n v="1462"/>
    <n v="1499"/>
    <x v="41"/>
    <x v="41"/>
    <x v="69"/>
    <x v="14"/>
    <x v="6"/>
    <x v="1"/>
    <x v="1"/>
  </r>
  <r>
    <x v="94"/>
    <n v="248"/>
    <n v="486"/>
    <x v="39"/>
    <x v="39"/>
    <x v="70"/>
    <x v="14"/>
    <x v="6"/>
    <x v="1"/>
    <x v="1"/>
  </r>
  <r>
    <x v="95"/>
    <n v="3546"/>
    <n v="3699"/>
    <x v="88"/>
    <x v="88"/>
    <x v="71"/>
    <x v="14"/>
    <x v="6"/>
    <x v="1"/>
    <x v="1"/>
  </r>
  <r>
    <x v="96"/>
    <n v="525"/>
    <n v="1029"/>
    <x v="89"/>
    <x v="89"/>
    <x v="72"/>
    <x v="14"/>
    <x v="6"/>
    <x v="1"/>
    <x v="2"/>
  </r>
  <r>
    <x v="97"/>
    <n v="1080"/>
    <n v="1874"/>
    <x v="90"/>
    <x v="90"/>
    <x v="73"/>
    <x v="14"/>
    <x v="6"/>
    <x v="1"/>
    <x v="1"/>
  </r>
  <r>
    <x v="98"/>
    <n v="3640"/>
    <n v="4588"/>
    <x v="91"/>
    <x v="91"/>
    <x v="74"/>
    <x v="18"/>
    <x v="8"/>
    <x v="0"/>
    <x v="1"/>
  </r>
  <r>
    <x v="99"/>
    <n v="1420"/>
    <n v="2420"/>
    <x v="63"/>
    <x v="63"/>
    <x v="75"/>
    <x v="14"/>
    <x v="6"/>
    <x v="1"/>
    <x v="1"/>
  </r>
  <r>
    <x v="100"/>
    <n v="1875"/>
    <n v="1899"/>
    <x v="92"/>
    <x v="92"/>
    <x v="76"/>
    <x v="14"/>
    <x v="6"/>
    <x v="1"/>
    <x v="0"/>
  </r>
  <r>
    <x v="101"/>
    <n v="198"/>
    <n v="260"/>
    <x v="93"/>
    <x v="93"/>
    <x v="77"/>
    <x v="14"/>
    <x v="6"/>
    <x v="1"/>
    <x v="2"/>
  </r>
  <r>
    <x v="102"/>
    <n v="1150"/>
    <n v="1737"/>
    <x v="94"/>
    <x v="94"/>
    <x v="78"/>
    <x v="14"/>
    <x v="6"/>
    <x v="1"/>
    <x v="1"/>
  </r>
  <r>
    <x v="103"/>
    <n v="1190"/>
    <n v="1810"/>
    <x v="95"/>
    <x v="95"/>
    <x v="79"/>
    <x v="14"/>
    <x v="6"/>
    <x v="1"/>
    <x v="2"/>
  </r>
  <r>
    <x v="104"/>
    <n v="1658"/>
    <n v="1699"/>
    <x v="96"/>
    <x v="96"/>
    <x v="80"/>
    <x v="14"/>
    <x v="6"/>
    <x v="1"/>
    <x v="1"/>
  </r>
  <r>
    <x v="105"/>
    <n v="1768"/>
    <n v="1799"/>
    <x v="97"/>
    <x v="97"/>
    <x v="81"/>
    <x v="14"/>
    <x v="6"/>
    <x v="1"/>
    <x v="2"/>
  </r>
  <r>
    <x v="106"/>
    <n v="199"/>
    <n v="553"/>
    <x v="98"/>
    <x v="98"/>
    <x v="82"/>
    <x v="14"/>
    <x v="6"/>
    <x v="1"/>
    <x v="2"/>
  </r>
  <r>
    <x v="107"/>
    <n v="450"/>
    <n v="900"/>
    <x v="40"/>
    <x v="40"/>
    <x v="83"/>
    <x v="18"/>
    <x v="21"/>
    <x v="2"/>
    <x v="1"/>
  </r>
  <r>
    <x v="108"/>
    <n v="169"/>
    <n v="320"/>
    <x v="99"/>
    <x v="99"/>
    <x v="40"/>
    <x v="14"/>
    <x v="6"/>
    <x v="1"/>
    <x v="1"/>
  </r>
  <r>
    <x v="109"/>
    <n v="1208.2568807339449"/>
    <n v="1837.7522935779816"/>
    <x v="100"/>
    <x v="100"/>
    <x v="84"/>
    <x v="24"/>
    <x v="22"/>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541717-6F1A-4E5C-A038-4675504206C6}"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0">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4" showAll="0"/>
    <pivotField numFmtId="164" showAll="0"/>
    <pivotField showAll="0">
      <items count="9">
        <item x="0"/>
        <item x="1"/>
        <item x="2"/>
        <item x="3"/>
        <item x="4"/>
        <item x="5"/>
        <item x="6"/>
        <item x="7"/>
        <item t="default"/>
      </items>
    </pivotField>
    <pivotField showAll="0">
      <items count="102">
        <item x="92"/>
        <item x="97"/>
        <item x="77"/>
        <item x="41"/>
        <item x="48"/>
        <item x="50"/>
        <item x="96"/>
        <item x="20"/>
        <item x="93"/>
        <item x="72"/>
        <item x="49"/>
        <item x="85"/>
        <item x="81"/>
        <item x="87"/>
        <item x="99"/>
        <item x="88"/>
        <item x="16"/>
        <item x="34"/>
        <item x="29"/>
        <item x="10"/>
        <item x="73"/>
        <item x="25"/>
        <item x="82"/>
        <item x="79"/>
        <item x="39"/>
        <item x="67"/>
        <item x="80"/>
        <item x="35"/>
        <item x="5"/>
        <item x="47"/>
        <item x="46"/>
        <item x="78"/>
        <item x="65"/>
        <item x="56"/>
        <item x="61"/>
        <item x="15"/>
        <item x="98"/>
        <item x="60"/>
        <item x="13"/>
        <item x="68"/>
        <item x="52"/>
        <item x="59"/>
        <item x="40"/>
        <item x="38"/>
        <item x="22"/>
        <item x="1"/>
        <item x="12"/>
        <item x="23"/>
        <item x="89"/>
        <item x="11"/>
        <item x="57"/>
        <item x="51"/>
        <item x="0"/>
        <item x="94"/>
        <item x="7"/>
        <item x="43"/>
        <item x="4"/>
        <item x="95"/>
        <item x="26"/>
        <item x="53"/>
        <item x="44"/>
        <item x="71"/>
        <item x="18"/>
        <item x="31"/>
        <item x="6"/>
        <item x="32"/>
        <item x="2"/>
        <item x="27"/>
        <item x="45"/>
        <item x="54"/>
        <item x="90"/>
        <item x="86"/>
        <item x="14"/>
        <item x="62"/>
        <item x="76"/>
        <item x="69"/>
        <item x="83"/>
        <item x="36"/>
        <item x="3"/>
        <item x="66"/>
        <item x="75"/>
        <item x="91"/>
        <item x="19"/>
        <item x="63"/>
        <item x="42"/>
        <item x="74"/>
        <item x="55"/>
        <item x="33"/>
        <item x="84"/>
        <item x="9"/>
        <item x="21"/>
        <item x="70"/>
        <item x="8"/>
        <item x="30"/>
        <item x="37"/>
        <item x="28"/>
        <item x="17"/>
        <item x="64"/>
        <item x="24"/>
        <item x="58"/>
        <item x="100"/>
        <item t="default"/>
      </items>
    </pivotField>
    <pivotField numFmtId="10" showAll="0">
      <items count="10">
        <item x="0"/>
        <item x="1"/>
        <item x="2"/>
        <item x="3"/>
        <item x="4"/>
        <item x="5"/>
        <item x="6"/>
        <item x="7"/>
        <item x="8"/>
        <item t="default"/>
      </items>
    </pivotField>
    <pivotField showAll="0">
      <items count="10">
        <item x="0"/>
        <item x="1"/>
        <item x="2"/>
        <item x="3"/>
        <item x="4"/>
        <item x="5"/>
        <item x="6"/>
        <item x="7"/>
        <item x="8"/>
        <item t="default"/>
      </items>
    </pivotField>
    <pivotField axis="axisRow" showAll="0">
      <items count="6">
        <item x="0"/>
        <item x="1"/>
        <item x="2"/>
        <item x="3"/>
        <item x="4"/>
        <item t="default"/>
      </items>
    </pivotField>
    <pivotField showAll="0">
      <items count="5">
        <item x="1"/>
        <item x="0"/>
        <item x="2"/>
        <item x="3"/>
        <item t="default"/>
      </items>
    </pivotField>
    <pivotField showAll="0">
      <items count="5">
        <item x="1"/>
        <item x="2"/>
        <item x="0"/>
        <item h="1" x="3"/>
        <item t="default"/>
      </items>
    </pivotField>
  </pivotFields>
  <rowFields count="1">
    <field x="7"/>
  </rowFields>
  <rowItems count="4">
    <i>
      <x v="1"/>
    </i>
    <i>
      <x v="2"/>
    </i>
    <i>
      <x v="3"/>
    </i>
    <i t="grand">
      <x/>
    </i>
  </rowItems>
  <colItems count="1">
    <i/>
  </colItems>
  <dataFields count="1">
    <dataField name="Count of Product" fld="0" subtotal="count"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 chart="2" format="7">
      <pivotArea type="data" outline="0" fieldPosition="0">
        <references count="2">
          <reference field="4294967294" count="1" selected="0">
            <x v="0"/>
          </reference>
          <reference field="7" count="1" selected="0">
            <x v="2"/>
          </reference>
        </references>
      </pivotArea>
    </chartFormat>
    <chartFormat chart="2" format="8">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610CCF-0AE1-453C-B847-C3F48AB99718}"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0">
    <pivotField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4" showAll="0"/>
    <pivotField numFmtId="164" showAll="0"/>
    <pivotField showAll="0">
      <items count="9">
        <item x="0"/>
        <item x="1"/>
        <item x="2"/>
        <item x="3"/>
        <item x="4"/>
        <item x="5"/>
        <item x="6"/>
        <item x="7"/>
        <item t="default"/>
      </items>
    </pivotField>
    <pivotField showAll="0">
      <items count="102">
        <item x="92"/>
        <item x="97"/>
        <item x="77"/>
        <item x="41"/>
        <item x="48"/>
        <item x="50"/>
        <item x="96"/>
        <item x="20"/>
        <item x="93"/>
        <item x="72"/>
        <item x="49"/>
        <item x="85"/>
        <item x="81"/>
        <item x="87"/>
        <item x="99"/>
        <item x="88"/>
        <item x="16"/>
        <item x="34"/>
        <item x="29"/>
        <item x="10"/>
        <item x="73"/>
        <item x="25"/>
        <item x="82"/>
        <item x="79"/>
        <item x="39"/>
        <item x="67"/>
        <item x="80"/>
        <item x="35"/>
        <item x="5"/>
        <item x="47"/>
        <item x="46"/>
        <item x="78"/>
        <item x="65"/>
        <item x="56"/>
        <item x="61"/>
        <item x="15"/>
        <item x="98"/>
        <item x="60"/>
        <item x="13"/>
        <item x="68"/>
        <item x="52"/>
        <item x="59"/>
        <item x="40"/>
        <item x="38"/>
        <item x="22"/>
        <item x="1"/>
        <item x="12"/>
        <item x="23"/>
        <item x="89"/>
        <item x="11"/>
        <item x="57"/>
        <item x="51"/>
        <item x="0"/>
        <item x="94"/>
        <item x="7"/>
        <item x="43"/>
        <item x="4"/>
        <item x="95"/>
        <item x="26"/>
        <item x="53"/>
        <item x="44"/>
        <item x="71"/>
        <item x="18"/>
        <item x="31"/>
        <item x="6"/>
        <item x="32"/>
        <item x="2"/>
        <item x="27"/>
        <item x="45"/>
        <item x="54"/>
        <item x="90"/>
        <item x="86"/>
        <item x="14"/>
        <item x="62"/>
        <item x="76"/>
        <item x="69"/>
        <item x="83"/>
        <item x="36"/>
        <item x="3"/>
        <item x="66"/>
        <item x="75"/>
        <item x="91"/>
        <item x="19"/>
        <item x="63"/>
        <item x="42"/>
        <item x="74"/>
        <item x="55"/>
        <item x="33"/>
        <item x="84"/>
        <item x="9"/>
        <item x="21"/>
        <item x="70"/>
        <item x="8"/>
        <item x="30"/>
        <item x="37"/>
        <item x="28"/>
        <item x="17"/>
        <item x="64"/>
        <item x="24"/>
        <item x="58"/>
        <item x="100"/>
        <item t="default"/>
      </items>
    </pivotField>
    <pivotField axis="axisRow" numFmtId="10" showAll="0">
      <items count="10">
        <item x="0"/>
        <item x="1"/>
        <item x="2"/>
        <item x="3"/>
        <item x="4"/>
        <item x="5"/>
        <item x="6"/>
        <item x="7"/>
        <item x="8"/>
        <item t="default"/>
      </items>
    </pivotField>
    <pivotField dataField="1" showAll="0">
      <items count="10">
        <item x="0"/>
        <item x="1"/>
        <item x="2"/>
        <item x="3"/>
        <item x="4"/>
        <item x="5"/>
        <item x="6"/>
        <item x="7"/>
        <item x="8"/>
        <item t="default"/>
      </items>
    </pivotField>
    <pivotField showAll="0">
      <items count="6">
        <item x="0"/>
        <item x="1"/>
        <item x="2"/>
        <item x="3"/>
        <item x="4"/>
        <item t="default"/>
      </items>
    </pivotField>
    <pivotField showAll="0">
      <items count="5">
        <item x="1"/>
        <item x="0"/>
        <item x="2"/>
        <item x="3"/>
        <item t="default"/>
      </items>
    </pivotField>
    <pivotField showAll="0">
      <items count="5">
        <item x="1"/>
        <item x="2"/>
        <item x="0"/>
        <item h="1" x="3"/>
        <item t="default"/>
      </items>
    </pivotField>
  </pivotFields>
  <rowFields count="1">
    <field x="5"/>
  </rowFields>
  <rowItems count="8">
    <i>
      <x v="1"/>
    </i>
    <i>
      <x v="2"/>
    </i>
    <i>
      <x v="3"/>
    </i>
    <i>
      <x v="4"/>
    </i>
    <i>
      <x v="5"/>
    </i>
    <i>
      <x v="6"/>
    </i>
    <i>
      <x v="7"/>
    </i>
    <i t="grand">
      <x/>
    </i>
  </rowItems>
  <colItems count="1">
    <i/>
  </colItems>
  <dataFields count="1">
    <dataField name="Sum of Review"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EAAC7E-9178-4274-8840-2CB91ABC49B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0">
    <pivotField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4" showAll="0"/>
    <pivotField numFmtId="164" showAll="0"/>
    <pivotField showAll="0">
      <items count="9">
        <item x="0"/>
        <item x="1"/>
        <item x="2"/>
        <item x="3"/>
        <item x="4"/>
        <item x="5"/>
        <item x="6"/>
        <item x="7"/>
        <item t="default"/>
      </items>
    </pivotField>
    <pivotField showAll="0">
      <items count="102">
        <item x="92"/>
        <item x="97"/>
        <item x="77"/>
        <item x="41"/>
        <item x="48"/>
        <item x="50"/>
        <item x="96"/>
        <item x="20"/>
        <item x="93"/>
        <item x="72"/>
        <item x="49"/>
        <item x="85"/>
        <item x="81"/>
        <item x="87"/>
        <item x="99"/>
        <item x="88"/>
        <item x="16"/>
        <item x="34"/>
        <item x="29"/>
        <item x="10"/>
        <item x="73"/>
        <item x="25"/>
        <item x="82"/>
        <item x="79"/>
        <item x="39"/>
        <item x="67"/>
        <item x="80"/>
        <item x="35"/>
        <item x="5"/>
        <item x="47"/>
        <item x="46"/>
        <item x="78"/>
        <item x="65"/>
        <item x="56"/>
        <item x="61"/>
        <item x="15"/>
        <item x="98"/>
        <item x="60"/>
        <item x="13"/>
        <item x="68"/>
        <item x="52"/>
        <item x="59"/>
        <item x="40"/>
        <item x="38"/>
        <item x="22"/>
        <item x="1"/>
        <item x="12"/>
        <item x="23"/>
        <item x="89"/>
        <item x="11"/>
        <item x="57"/>
        <item x="51"/>
        <item x="0"/>
        <item x="94"/>
        <item x="7"/>
        <item x="43"/>
        <item x="4"/>
        <item x="95"/>
        <item x="26"/>
        <item x="53"/>
        <item x="44"/>
        <item x="71"/>
        <item x="18"/>
        <item x="31"/>
        <item x="6"/>
        <item x="32"/>
        <item x="2"/>
        <item x="27"/>
        <item x="45"/>
        <item x="54"/>
        <item x="90"/>
        <item x="86"/>
        <item x="14"/>
        <item x="62"/>
        <item x="76"/>
        <item x="69"/>
        <item x="83"/>
        <item x="36"/>
        <item x="3"/>
        <item x="66"/>
        <item x="75"/>
        <item x="91"/>
        <item x="19"/>
        <item x="63"/>
        <item x="42"/>
        <item x="74"/>
        <item x="55"/>
        <item x="33"/>
        <item x="84"/>
        <item x="9"/>
        <item x="21"/>
        <item x="70"/>
        <item x="8"/>
        <item x="30"/>
        <item x="37"/>
        <item x="28"/>
        <item x="17"/>
        <item x="64"/>
        <item x="24"/>
        <item x="58"/>
        <item x="100"/>
        <item t="default"/>
      </items>
    </pivotField>
    <pivotField axis="axisRow" numFmtId="10" showAll="0">
      <items count="10">
        <item x="0"/>
        <item x="1"/>
        <item x="2"/>
        <item x="3"/>
        <item x="4"/>
        <item x="5"/>
        <item x="6"/>
        <item x="7"/>
        <item x="8"/>
        <item t="default"/>
      </items>
    </pivotField>
    <pivotField showAll="0">
      <items count="10">
        <item x="0"/>
        <item x="1"/>
        <item x="2"/>
        <item x="3"/>
        <item x="4"/>
        <item x="5"/>
        <item x="6"/>
        <item x="7"/>
        <item x="8"/>
        <item t="default"/>
      </items>
    </pivotField>
    <pivotField dataField="1" showAll="0">
      <items count="6">
        <item x="0"/>
        <item x="1"/>
        <item x="2"/>
        <item x="3"/>
        <item x="4"/>
        <item t="default"/>
      </items>
    </pivotField>
    <pivotField showAll="0">
      <items count="5">
        <item x="1"/>
        <item x="0"/>
        <item x="2"/>
        <item x="3"/>
        <item t="default"/>
      </items>
    </pivotField>
    <pivotField showAll="0">
      <items count="5">
        <item x="1"/>
        <item x="2"/>
        <item x="0"/>
        <item h="1" x="3"/>
        <item t="default"/>
      </items>
    </pivotField>
  </pivotFields>
  <rowFields count="1">
    <field x="5"/>
  </rowFields>
  <rowItems count="8">
    <i>
      <x v="1"/>
    </i>
    <i>
      <x v="2"/>
    </i>
    <i>
      <x v="3"/>
    </i>
    <i>
      <x v="4"/>
    </i>
    <i>
      <x v="5"/>
    </i>
    <i>
      <x v="6"/>
    </i>
    <i>
      <x v="7"/>
    </i>
    <i t="grand">
      <x/>
    </i>
  </rowItems>
  <colItems count="1">
    <i/>
  </colItems>
  <dataFields count="1">
    <dataField name="Average of Rating" fld="7"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9B67E9-4A64-4B92-A951-6EA09BEF4B34}"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0">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4" showAll="0"/>
    <pivotField numFmtId="164" showAll="0"/>
    <pivotField showAll="0">
      <items count="9">
        <item x="0"/>
        <item x="1"/>
        <item x="2"/>
        <item x="3"/>
        <item x="4"/>
        <item x="5"/>
        <item x="6"/>
        <item x="7"/>
        <item t="default"/>
      </items>
    </pivotField>
    <pivotField showAll="0"/>
    <pivotField axis="axisRow" numFmtId="10" showAll="0">
      <items count="10">
        <item x="0"/>
        <item x="1"/>
        <item x="2"/>
        <item x="3"/>
        <item x="4"/>
        <item x="5"/>
        <item x="6"/>
        <item x="7"/>
        <item x="8"/>
        <item t="default"/>
      </items>
    </pivotField>
    <pivotField showAll="0">
      <items count="10">
        <item x="0"/>
        <item x="1"/>
        <item x="2"/>
        <item x="3"/>
        <item x="4"/>
        <item x="5"/>
        <item x="6"/>
        <item x="7"/>
        <item x="8"/>
        <item t="default"/>
      </items>
    </pivotField>
    <pivotField showAll="0">
      <items count="6">
        <item x="0"/>
        <item x="1"/>
        <item x="2"/>
        <item x="3"/>
        <item x="4"/>
        <item t="default"/>
      </items>
    </pivotField>
    <pivotField showAll="0">
      <items count="5">
        <item x="1"/>
        <item x="0"/>
        <item x="2"/>
        <item x="3"/>
        <item t="default"/>
      </items>
    </pivotField>
    <pivotField showAll="0">
      <items count="5">
        <item x="1"/>
        <item x="2"/>
        <item x="0"/>
        <item h="1" x="3"/>
        <item t="default"/>
      </items>
    </pivotField>
  </pivotFields>
  <rowFields count="1">
    <field x="5"/>
  </rowFields>
  <rowItems count="8">
    <i>
      <x v="1"/>
    </i>
    <i>
      <x v="2"/>
    </i>
    <i>
      <x v="3"/>
    </i>
    <i>
      <x v="4"/>
    </i>
    <i>
      <x v="5"/>
    </i>
    <i>
      <x v="6"/>
    </i>
    <i>
      <x v="7"/>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73DB91-BA01-482C-A4C3-09436F44C530}"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0">
    <pivotField axis="axisRow" showAll="0" measureFilter="1" sortType="a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4" showAll="0"/>
    <pivotField numFmtId="164" showAll="0"/>
    <pivotField showAll="0">
      <items count="9">
        <item x="0"/>
        <item x="1"/>
        <item x="2"/>
        <item x="3"/>
        <item x="4"/>
        <item x="5"/>
        <item x="6"/>
        <item x="7"/>
        <item t="default"/>
      </items>
    </pivotField>
    <pivotField showAll="0">
      <items count="102">
        <item x="92"/>
        <item x="97"/>
        <item x="77"/>
        <item x="41"/>
        <item x="48"/>
        <item x="50"/>
        <item x="96"/>
        <item x="20"/>
        <item x="93"/>
        <item x="72"/>
        <item x="49"/>
        <item x="85"/>
        <item x="81"/>
        <item x="87"/>
        <item x="99"/>
        <item x="88"/>
        <item x="16"/>
        <item x="34"/>
        <item x="29"/>
        <item x="10"/>
        <item x="73"/>
        <item x="25"/>
        <item x="82"/>
        <item x="79"/>
        <item x="39"/>
        <item x="67"/>
        <item x="80"/>
        <item x="35"/>
        <item x="5"/>
        <item x="47"/>
        <item x="46"/>
        <item x="78"/>
        <item x="65"/>
        <item x="56"/>
        <item x="61"/>
        <item x="15"/>
        <item x="98"/>
        <item x="60"/>
        <item x="13"/>
        <item x="68"/>
        <item x="52"/>
        <item x="59"/>
        <item x="40"/>
        <item x="38"/>
        <item x="22"/>
        <item x="1"/>
        <item x="12"/>
        <item x="23"/>
        <item x="89"/>
        <item x="11"/>
        <item x="57"/>
        <item x="51"/>
        <item x="0"/>
        <item x="94"/>
        <item x="7"/>
        <item x="43"/>
        <item x="4"/>
        <item x="95"/>
        <item x="26"/>
        <item x="53"/>
        <item x="44"/>
        <item x="71"/>
        <item x="18"/>
        <item x="31"/>
        <item x="6"/>
        <item x="32"/>
        <item x="2"/>
        <item x="27"/>
        <item x="45"/>
        <item x="54"/>
        <item x="90"/>
        <item x="86"/>
        <item x="14"/>
        <item x="62"/>
        <item x="76"/>
        <item x="69"/>
        <item x="83"/>
        <item x="36"/>
        <item x="3"/>
        <item x="66"/>
        <item x="75"/>
        <item x="91"/>
        <item x="19"/>
        <item x="63"/>
        <item x="42"/>
        <item x="74"/>
        <item x="55"/>
        <item x="33"/>
        <item x="84"/>
        <item x="9"/>
        <item x="21"/>
        <item x="70"/>
        <item x="8"/>
        <item x="30"/>
        <item x="37"/>
        <item x="28"/>
        <item x="17"/>
        <item x="64"/>
        <item x="24"/>
        <item x="58"/>
        <item x="100"/>
        <item t="default"/>
      </items>
    </pivotField>
    <pivotField numFmtId="10" showAll="0">
      <items count="10">
        <item x="0"/>
        <item x="1"/>
        <item x="2"/>
        <item x="3"/>
        <item x="4"/>
        <item x="5"/>
        <item x="6"/>
        <item x="7"/>
        <item x="8"/>
        <item t="default"/>
      </items>
    </pivotField>
    <pivotField showAll="0">
      <items count="10">
        <item x="0"/>
        <item x="1"/>
        <item x="2"/>
        <item x="3"/>
        <item x="4"/>
        <item x="5"/>
        <item x="6"/>
        <item x="7"/>
        <item x="8"/>
        <item t="default"/>
      </items>
    </pivotField>
    <pivotField dataField="1" showAll="0">
      <items count="6">
        <item x="0"/>
        <item x="1"/>
        <item x="2"/>
        <item x="3"/>
        <item x="4"/>
        <item t="default"/>
      </items>
    </pivotField>
    <pivotField showAll="0">
      <items count="5">
        <item x="1"/>
        <item x="0"/>
        <item x="2"/>
        <item x="3"/>
        <item t="default"/>
      </items>
    </pivotField>
    <pivotField showAll="0">
      <items count="5">
        <item x="1"/>
        <item x="2"/>
        <item x="0"/>
        <item h="1" x="3"/>
        <item t="default"/>
      </items>
    </pivotField>
  </pivotFields>
  <rowFields count="1">
    <field x="0"/>
  </rowFields>
  <rowItems count="11">
    <i>
      <x v="22"/>
    </i>
    <i>
      <x v="40"/>
    </i>
    <i>
      <x v="44"/>
    </i>
    <i>
      <x v="52"/>
    </i>
    <i>
      <x v="57"/>
    </i>
    <i>
      <x v="65"/>
    </i>
    <i>
      <x v="68"/>
    </i>
    <i>
      <x v="70"/>
    </i>
    <i>
      <x v="87"/>
    </i>
    <i>
      <x v="90"/>
    </i>
    <i t="grand">
      <x/>
    </i>
  </rowItems>
  <colItems count="1">
    <i/>
  </colItems>
  <dataFields count="1">
    <dataField name="Sum of Rating" fld="7"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F05D85-D70C-4E8D-B9ED-23F76208443E}"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0">
    <pivotField axis="axisRow" showAll="0" measureFilter="1">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4" showAll="0"/>
    <pivotField numFmtId="164" showAll="0"/>
    <pivotField showAll="0">
      <items count="9">
        <item x="0"/>
        <item x="1"/>
        <item x="2"/>
        <item x="3"/>
        <item x="4"/>
        <item x="5"/>
        <item x="6"/>
        <item x="7"/>
        <item t="default"/>
      </items>
    </pivotField>
    <pivotField showAll="0">
      <items count="102">
        <item x="92"/>
        <item x="97"/>
        <item x="77"/>
        <item x="41"/>
        <item x="48"/>
        <item x="50"/>
        <item x="96"/>
        <item x="20"/>
        <item x="93"/>
        <item x="72"/>
        <item x="49"/>
        <item x="85"/>
        <item x="81"/>
        <item x="87"/>
        <item x="99"/>
        <item x="88"/>
        <item x="16"/>
        <item x="34"/>
        <item x="29"/>
        <item x="10"/>
        <item x="73"/>
        <item x="25"/>
        <item x="82"/>
        <item x="79"/>
        <item x="39"/>
        <item x="67"/>
        <item x="80"/>
        <item x="35"/>
        <item x="5"/>
        <item x="47"/>
        <item x="46"/>
        <item x="78"/>
        <item x="65"/>
        <item x="56"/>
        <item x="61"/>
        <item x="15"/>
        <item x="98"/>
        <item x="60"/>
        <item x="13"/>
        <item x="68"/>
        <item x="52"/>
        <item x="59"/>
        <item x="40"/>
        <item x="38"/>
        <item x="22"/>
        <item x="1"/>
        <item x="12"/>
        <item x="23"/>
        <item x="89"/>
        <item x="11"/>
        <item x="57"/>
        <item x="51"/>
        <item x="0"/>
        <item x="94"/>
        <item x="7"/>
        <item x="43"/>
        <item x="4"/>
        <item x="95"/>
        <item x="26"/>
        <item x="53"/>
        <item x="44"/>
        <item x="71"/>
        <item x="18"/>
        <item x="31"/>
        <item x="6"/>
        <item x="32"/>
        <item x="2"/>
        <item x="27"/>
        <item x="45"/>
        <item x="54"/>
        <item x="90"/>
        <item x="86"/>
        <item x="14"/>
        <item x="62"/>
        <item x="76"/>
        <item x="69"/>
        <item x="83"/>
        <item x="36"/>
        <item x="3"/>
        <item x="66"/>
        <item x="75"/>
        <item x="91"/>
        <item x="19"/>
        <item x="63"/>
        <item x="42"/>
        <item x="74"/>
        <item x="55"/>
        <item x="33"/>
        <item x="84"/>
        <item x="9"/>
        <item x="21"/>
        <item x="70"/>
        <item x="8"/>
        <item x="30"/>
        <item x="37"/>
        <item x="28"/>
        <item x="17"/>
        <item x="64"/>
        <item x="24"/>
        <item x="58"/>
        <item x="100"/>
        <item t="default"/>
      </items>
    </pivotField>
    <pivotField numFmtId="10" showAll="0">
      <items count="10">
        <item x="0"/>
        <item x="1"/>
        <item x="2"/>
        <item x="3"/>
        <item x="4"/>
        <item x="5"/>
        <item x="6"/>
        <item x="7"/>
        <item x="8"/>
        <item t="default"/>
      </items>
    </pivotField>
    <pivotField dataField="1" showAll="0">
      <items count="10">
        <item x="0"/>
        <item x="1"/>
        <item x="2"/>
        <item x="3"/>
        <item x="4"/>
        <item x="5"/>
        <item x="6"/>
        <item x="7"/>
        <item x="8"/>
        <item t="default"/>
      </items>
    </pivotField>
    <pivotField showAll="0">
      <items count="6">
        <item x="0"/>
        <item x="1"/>
        <item x="2"/>
        <item x="3"/>
        <item x="4"/>
        <item t="default"/>
      </items>
    </pivotField>
    <pivotField showAll="0">
      <items count="5">
        <item x="1"/>
        <item x="0"/>
        <item x="2"/>
        <item x="3"/>
        <item t="default"/>
      </items>
    </pivotField>
    <pivotField showAll="0">
      <items count="5">
        <item x="1"/>
        <item x="2"/>
        <item x="0"/>
        <item h="1" x="3"/>
        <item t="default"/>
      </items>
    </pivotField>
  </pivotFields>
  <rowFields count="1">
    <field x="0"/>
  </rowFields>
  <rowItems count="6">
    <i>
      <x v="1"/>
    </i>
    <i>
      <x v="5"/>
    </i>
    <i>
      <x v="8"/>
    </i>
    <i>
      <x v="18"/>
    </i>
    <i>
      <x v="59"/>
    </i>
    <i t="grand">
      <x/>
    </i>
  </rowItems>
  <colItems count="1">
    <i/>
  </colItems>
  <dataFields count="1">
    <dataField name="Sum of Review" fld="6"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2B1070-7A02-4379-8724-99EE33BA9A1A}"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0">
    <pivotField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4" showAll="0"/>
    <pivotField numFmtId="164" showAll="0"/>
    <pivotField showAll="0">
      <items count="9">
        <item x="0"/>
        <item x="1"/>
        <item x="2"/>
        <item x="3"/>
        <item x="4"/>
        <item x="5"/>
        <item x="6"/>
        <item x="7"/>
        <item t="default"/>
      </items>
    </pivotField>
    <pivotField showAll="0">
      <items count="102">
        <item x="92"/>
        <item x="97"/>
        <item x="77"/>
        <item x="41"/>
        <item x="48"/>
        <item x="50"/>
        <item x="96"/>
        <item x="20"/>
        <item x="93"/>
        <item x="72"/>
        <item x="49"/>
        <item x="85"/>
        <item x="81"/>
        <item x="87"/>
        <item x="99"/>
        <item x="88"/>
        <item x="16"/>
        <item x="34"/>
        <item x="29"/>
        <item x="10"/>
        <item x="73"/>
        <item x="25"/>
        <item x="82"/>
        <item x="79"/>
        <item x="39"/>
        <item x="67"/>
        <item x="80"/>
        <item x="35"/>
        <item x="5"/>
        <item x="47"/>
        <item x="46"/>
        <item x="78"/>
        <item x="65"/>
        <item x="56"/>
        <item x="61"/>
        <item x="15"/>
        <item x="98"/>
        <item x="60"/>
        <item x="13"/>
        <item x="68"/>
        <item x="52"/>
        <item x="59"/>
        <item x="40"/>
        <item x="38"/>
        <item x="22"/>
        <item x="1"/>
        <item x="12"/>
        <item x="23"/>
        <item x="89"/>
        <item x="11"/>
        <item x="57"/>
        <item x="51"/>
        <item x="0"/>
        <item x="94"/>
        <item x="7"/>
        <item x="43"/>
        <item x="4"/>
        <item x="95"/>
        <item x="26"/>
        <item x="53"/>
        <item x="44"/>
        <item x="71"/>
        <item x="18"/>
        <item x="31"/>
        <item x="6"/>
        <item x="32"/>
        <item x="2"/>
        <item x="27"/>
        <item x="45"/>
        <item x="54"/>
        <item x="90"/>
        <item x="86"/>
        <item x="14"/>
        <item x="62"/>
        <item x="76"/>
        <item x="69"/>
        <item x="83"/>
        <item x="36"/>
        <item x="3"/>
        <item x="66"/>
        <item x="75"/>
        <item x="91"/>
        <item x="19"/>
        <item x="63"/>
        <item x="42"/>
        <item x="74"/>
        <item x="55"/>
        <item x="33"/>
        <item x="84"/>
        <item x="9"/>
        <item x="21"/>
        <item x="70"/>
        <item x="8"/>
        <item x="30"/>
        <item x="37"/>
        <item x="28"/>
        <item x="17"/>
        <item x="64"/>
        <item x="24"/>
        <item x="58"/>
        <item x="100"/>
        <item t="default"/>
      </items>
    </pivotField>
    <pivotField axis="axisRow" dataField="1" numFmtId="10" showAll="0">
      <items count="10">
        <item x="0"/>
        <item x="1"/>
        <item x="2"/>
        <item x="3"/>
        <item x="4"/>
        <item x="5"/>
        <item x="6"/>
        <item x="7"/>
        <item x="8"/>
        <item t="default"/>
      </items>
    </pivotField>
    <pivotField showAll="0">
      <items count="10">
        <item x="0"/>
        <item x="1"/>
        <item x="2"/>
        <item x="3"/>
        <item x="4"/>
        <item x="5"/>
        <item x="6"/>
        <item x="7"/>
        <item x="8"/>
        <item t="default"/>
      </items>
    </pivotField>
    <pivotField showAll="0">
      <items count="6">
        <item x="0"/>
        <item x="1"/>
        <item x="2"/>
        <item x="3"/>
        <item x="4"/>
        <item t="default"/>
      </items>
    </pivotField>
    <pivotField showAll="0">
      <items count="5">
        <item x="1"/>
        <item x="0"/>
        <item x="2"/>
        <item x="3"/>
        <item t="default"/>
      </items>
    </pivotField>
    <pivotField showAll="0">
      <items count="5">
        <item x="1"/>
        <item x="2"/>
        <item x="0"/>
        <item h="1" x="3"/>
        <item t="default"/>
      </items>
    </pivotField>
  </pivotFields>
  <rowFields count="1">
    <field x="5"/>
  </rowFields>
  <rowItems count="8">
    <i>
      <x v="1"/>
    </i>
    <i>
      <x v="2"/>
    </i>
    <i>
      <x v="3"/>
    </i>
    <i>
      <x v="4"/>
    </i>
    <i>
      <x v="5"/>
    </i>
    <i>
      <x v="6"/>
    </i>
    <i>
      <x v="7"/>
    </i>
    <i t="grand">
      <x/>
    </i>
  </rowItems>
  <colItems count="1">
    <i/>
  </colItems>
  <dataFields count="1">
    <dataField name="Average of Discount" fld="5" subtotal="average" baseField="4" baseItem="1"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876C84-C4D4-4B9B-9123-55D6A415A0F1}"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0">
    <pivotField axis="axisRow" showAll="0" measureFilter="1">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4" showAll="0"/>
    <pivotField numFmtId="164" showAll="0"/>
    <pivotField showAll="0">
      <items count="9">
        <item x="0"/>
        <item x="1"/>
        <item x="2"/>
        <item x="3"/>
        <item x="4"/>
        <item x="5"/>
        <item x="6"/>
        <item x="7"/>
        <item t="default"/>
      </items>
    </pivotField>
    <pivotField showAll="0">
      <items count="102">
        <item x="92"/>
        <item x="97"/>
        <item x="77"/>
        <item x="41"/>
        <item x="48"/>
        <item x="50"/>
        <item x="96"/>
        <item x="20"/>
        <item x="93"/>
        <item x="72"/>
        <item x="49"/>
        <item x="85"/>
        <item x="81"/>
        <item x="87"/>
        <item x="99"/>
        <item x="88"/>
        <item x="16"/>
        <item x="34"/>
        <item x="29"/>
        <item x="10"/>
        <item x="73"/>
        <item x="25"/>
        <item x="82"/>
        <item x="79"/>
        <item x="39"/>
        <item x="67"/>
        <item x="80"/>
        <item x="35"/>
        <item x="5"/>
        <item x="47"/>
        <item x="46"/>
        <item x="78"/>
        <item x="65"/>
        <item x="56"/>
        <item x="61"/>
        <item x="15"/>
        <item x="98"/>
        <item x="60"/>
        <item x="13"/>
        <item x="68"/>
        <item x="52"/>
        <item x="59"/>
        <item x="40"/>
        <item x="38"/>
        <item x="22"/>
        <item x="1"/>
        <item x="12"/>
        <item x="23"/>
        <item x="89"/>
        <item x="11"/>
        <item x="57"/>
        <item x="51"/>
        <item x="0"/>
        <item x="94"/>
        <item x="7"/>
        <item x="43"/>
        <item x="4"/>
        <item x="95"/>
        <item x="26"/>
        <item x="53"/>
        <item x="44"/>
        <item x="71"/>
        <item x="18"/>
        <item x="31"/>
        <item x="6"/>
        <item x="32"/>
        <item x="2"/>
        <item x="27"/>
        <item x="45"/>
        <item x="54"/>
        <item x="90"/>
        <item x="86"/>
        <item x="14"/>
        <item x="62"/>
        <item x="76"/>
        <item x="69"/>
        <item x="83"/>
        <item x="36"/>
        <item x="3"/>
        <item x="66"/>
        <item x="75"/>
        <item x="91"/>
        <item x="19"/>
        <item x="63"/>
        <item x="42"/>
        <item x="74"/>
        <item x="55"/>
        <item x="33"/>
        <item x="84"/>
        <item x="9"/>
        <item x="21"/>
        <item x="70"/>
        <item x="8"/>
        <item x="30"/>
        <item x="37"/>
        <item x="28"/>
        <item x="17"/>
        <item x="64"/>
        <item x="24"/>
        <item x="58"/>
        <item x="100"/>
        <item t="default"/>
      </items>
    </pivotField>
    <pivotField dataField="1" numFmtId="10" showAll="0">
      <items count="10">
        <item x="0"/>
        <item x="1"/>
        <item x="2"/>
        <item x="3"/>
        <item x="4"/>
        <item x="5"/>
        <item x="6"/>
        <item x="7"/>
        <item x="8"/>
        <item t="default"/>
      </items>
    </pivotField>
    <pivotField showAll="0">
      <items count="10">
        <item x="0"/>
        <item x="1"/>
        <item x="2"/>
        <item x="3"/>
        <item x="4"/>
        <item x="5"/>
        <item x="6"/>
        <item x="7"/>
        <item x="8"/>
        <item t="default"/>
      </items>
    </pivotField>
    <pivotField showAll="0">
      <items count="6">
        <item x="0"/>
        <item x="1"/>
        <item x="2"/>
        <item x="3"/>
        <item x="4"/>
        <item t="default"/>
      </items>
    </pivotField>
    <pivotField showAll="0">
      <items count="5">
        <item x="1"/>
        <item x="0"/>
        <item x="2"/>
        <item x="3"/>
        <item t="default"/>
      </items>
    </pivotField>
    <pivotField showAll="0">
      <items count="5">
        <item x="1"/>
        <item x="2"/>
        <item x="0"/>
        <item h="1" x="3"/>
        <item t="default"/>
      </items>
    </pivotField>
  </pivotFields>
  <rowFields count="1">
    <field x="0"/>
  </rowFields>
  <rowItems count="6">
    <i>
      <x v="33"/>
    </i>
    <i>
      <x v="63"/>
    </i>
    <i>
      <x v="70"/>
    </i>
    <i>
      <x v="82"/>
    </i>
    <i>
      <x v="106"/>
    </i>
    <i t="grand">
      <x/>
    </i>
  </rowItems>
  <colItems count="1">
    <i/>
  </colItems>
  <dataFields count="1">
    <dataField name="Sum of Discount" fld="5" baseField="0" baseItem="0" numFmtId="10"/>
  </dataFields>
  <chartFormats count="7">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0" count="1" selected="0">
            <x v="33"/>
          </reference>
        </references>
      </pivotArea>
    </chartFormat>
    <chartFormat chart="0" format="7">
      <pivotArea type="data" outline="0" fieldPosition="0">
        <references count="2">
          <reference field="4294967294" count="1" selected="0">
            <x v="0"/>
          </reference>
          <reference field="0" count="1" selected="0">
            <x v="63"/>
          </reference>
        </references>
      </pivotArea>
    </chartFormat>
    <chartFormat chart="0" format="8">
      <pivotArea type="data" outline="0" fieldPosition="0">
        <references count="2">
          <reference field="4294967294" count="1" selected="0">
            <x v="0"/>
          </reference>
          <reference field="0" count="1" selected="0">
            <x v="70"/>
          </reference>
        </references>
      </pivotArea>
    </chartFormat>
    <chartFormat chart="0" format="9">
      <pivotArea type="data" outline="0" fieldPosition="0">
        <references count="2">
          <reference field="4294967294" count="1" selected="0">
            <x v="0"/>
          </reference>
          <reference field="0" count="1" selected="0">
            <x v="82"/>
          </reference>
        </references>
      </pivotArea>
    </chartFormat>
    <chartFormat chart="0" format="10">
      <pivotArea type="data" outline="0" fieldPosition="0">
        <references count="2">
          <reference field="4294967294" count="1" selected="0">
            <x v="0"/>
          </reference>
          <reference field="0" count="1" selected="0">
            <x v="106"/>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386CCA-44B4-48D5-BB44-2E8DB6FD47AC}"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0">
    <pivotField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4" showAll="0"/>
    <pivotField numFmtId="164" showAll="0"/>
    <pivotField showAll="0">
      <items count="9">
        <item x="0"/>
        <item x="1"/>
        <item x="2"/>
        <item x="3"/>
        <item x="4"/>
        <item x="5"/>
        <item x="6"/>
        <item x="7"/>
        <item t="default"/>
      </items>
    </pivotField>
    <pivotField showAll="0">
      <items count="102">
        <item x="92"/>
        <item x="97"/>
        <item x="77"/>
        <item x="41"/>
        <item x="48"/>
        <item x="50"/>
        <item x="96"/>
        <item x="20"/>
        <item x="93"/>
        <item x="72"/>
        <item x="49"/>
        <item x="85"/>
        <item x="81"/>
        <item x="87"/>
        <item x="99"/>
        <item x="88"/>
        <item x="16"/>
        <item x="34"/>
        <item x="29"/>
        <item x="10"/>
        <item x="73"/>
        <item x="25"/>
        <item x="82"/>
        <item x="79"/>
        <item x="39"/>
        <item x="67"/>
        <item x="80"/>
        <item x="35"/>
        <item x="5"/>
        <item x="47"/>
        <item x="46"/>
        <item x="78"/>
        <item x="65"/>
        <item x="56"/>
        <item x="61"/>
        <item x="15"/>
        <item x="98"/>
        <item x="60"/>
        <item x="13"/>
        <item x="68"/>
        <item x="52"/>
        <item x="59"/>
        <item x="40"/>
        <item x="38"/>
        <item x="22"/>
        <item x="1"/>
        <item x="12"/>
        <item x="23"/>
        <item x="89"/>
        <item x="11"/>
        <item x="57"/>
        <item x="51"/>
        <item x="0"/>
        <item x="94"/>
        <item x="7"/>
        <item x="43"/>
        <item x="4"/>
        <item x="95"/>
        <item x="26"/>
        <item x="53"/>
        <item x="44"/>
        <item x="71"/>
        <item x="18"/>
        <item x="31"/>
        <item x="6"/>
        <item x="32"/>
        <item x="2"/>
        <item x="27"/>
        <item x="45"/>
        <item x="54"/>
        <item x="90"/>
        <item x="86"/>
        <item x="14"/>
        <item x="62"/>
        <item x="76"/>
        <item x="69"/>
        <item x="83"/>
        <item x="36"/>
        <item x="3"/>
        <item x="66"/>
        <item x="75"/>
        <item x="91"/>
        <item x="19"/>
        <item x="63"/>
        <item x="42"/>
        <item x="74"/>
        <item x="55"/>
        <item x="33"/>
        <item x="84"/>
        <item x="9"/>
        <item x="21"/>
        <item x="70"/>
        <item x="8"/>
        <item x="30"/>
        <item x="37"/>
        <item x="28"/>
        <item x="17"/>
        <item x="64"/>
        <item x="24"/>
        <item x="58"/>
        <item x="100"/>
        <item t="default"/>
      </items>
    </pivotField>
    <pivotField axis="axisRow" numFmtId="10" showAll="0">
      <items count="10">
        <item x="0"/>
        <item x="1"/>
        <item x="2"/>
        <item x="3"/>
        <item x="4"/>
        <item x="5"/>
        <item x="6"/>
        <item x="7"/>
        <item x="8"/>
        <item t="default"/>
      </items>
    </pivotField>
    <pivotField dataField="1" showAll="0">
      <items count="10">
        <item x="0"/>
        <item x="1"/>
        <item x="2"/>
        <item x="3"/>
        <item x="4"/>
        <item x="5"/>
        <item x="6"/>
        <item x="7"/>
        <item x="8"/>
        <item t="default"/>
      </items>
    </pivotField>
    <pivotField showAll="0">
      <items count="6">
        <item x="0"/>
        <item x="1"/>
        <item x="2"/>
        <item x="3"/>
        <item x="4"/>
        <item t="default"/>
      </items>
    </pivotField>
    <pivotField showAll="0">
      <items count="5">
        <item x="1"/>
        <item x="0"/>
        <item x="2"/>
        <item x="3"/>
        <item t="default"/>
      </items>
    </pivotField>
    <pivotField showAll="0">
      <items count="5">
        <item x="1"/>
        <item x="2"/>
        <item x="0"/>
        <item h="1" x="3"/>
        <item t="default"/>
      </items>
    </pivotField>
  </pivotFields>
  <rowFields count="1">
    <field x="5"/>
  </rowFields>
  <rowItems count="8">
    <i>
      <x v="1"/>
    </i>
    <i>
      <x v="2"/>
    </i>
    <i>
      <x v="3"/>
    </i>
    <i>
      <x v="4"/>
    </i>
    <i>
      <x v="5"/>
    </i>
    <i>
      <x v="6"/>
    </i>
    <i>
      <x v="7"/>
    </i>
    <i t="grand">
      <x/>
    </i>
  </rowItems>
  <colItems count="1">
    <i/>
  </colItems>
  <dataFields count="1">
    <dataField name="Average of Review" fld="6" subtotal="average" baseField="5" baseItem="8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C3ECDB-2EDF-42E0-8B43-21317EA80F41}"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0">
    <pivotField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4" showAll="0"/>
    <pivotField numFmtId="164" showAll="0"/>
    <pivotField showAll="0">
      <items count="9">
        <item x="0"/>
        <item x="1"/>
        <item x="2"/>
        <item x="3"/>
        <item x="4"/>
        <item x="5"/>
        <item x="6"/>
        <item x="7"/>
        <item t="default"/>
      </items>
    </pivotField>
    <pivotField showAll="0">
      <items count="102">
        <item x="92"/>
        <item x="97"/>
        <item x="77"/>
        <item x="41"/>
        <item x="48"/>
        <item x="50"/>
        <item x="96"/>
        <item x="20"/>
        <item x="93"/>
        <item x="72"/>
        <item x="49"/>
        <item x="85"/>
        <item x="81"/>
        <item x="87"/>
        <item x="99"/>
        <item x="88"/>
        <item x="16"/>
        <item x="34"/>
        <item x="29"/>
        <item x="10"/>
        <item x="73"/>
        <item x="25"/>
        <item x="82"/>
        <item x="79"/>
        <item x="39"/>
        <item x="67"/>
        <item x="80"/>
        <item x="35"/>
        <item x="5"/>
        <item x="47"/>
        <item x="46"/>
        <item x="78"/>
        <item x="65"/>
        <item x="56"/>
        <item x="61"/>
        <item x="15"/>
        <item x="98"/>
        <item x="60"/>
        <item x="13"/>
        <item x="68"/>
        <item x="52"/>
        <item x="59"/>
        <item x="40"/>
        <item x="38"/>
        <item x="22"/>
        <item x="1"/>
        <item x="12"/>
        <item x="23"/>
        <item x="89"/>
        <item x="11"/>
        <item x="57"/>
        <item x="51"/>
        <item x="0"/>
        <item x="94"/>
        <item x="7"/>
        <item x="43"/>
        <item x="4"/>
        <item x="95"/>
        <item x="26"/>
        <item x="53"/>
        <item x="44"/>
        <item x="71"/>
        <item x="18"/>
        <item x="31"/>
        <item x="6"/>
        <item x="32"/>
        <item x="2"/>
        <item x="27"/>
        <item x="45"/>
        <item x="54"/>
        <item x="90"/>
        <item x="86"/>
        <item x="14"/>
        <item x="62"/>
        <item x="76"/>
        <item x="69"/>
        <item x="83"/>
        <item x="36"/>
        <item x="3"/>
        <item x="66"/>
        <item x="75"/>
        <item x="91"/>
        <item x="19"/>
        <item x="63"/>
        <item x="42"/>
        <item x="74"/>
        <item x="55"/>
        <item x="33"/>
        <item x="84"/>
        <item x="9"/>
        <item x="21"/>
        <item x="70"/>
        <item x="8"/>
        <item x="30"/>
        <item x="37"/>
        <item x="28"/>
        <item x="17"/>
        <item x="64"/>
        <item x="24"/>
        <item x="58"/>
        <item x="100"/>
        <item t="default"/>
      </items>
    </pivotField>
    <pivotField numFmtId="10" showAll="0">
      <items count="10">
        <item x="0"/>
        <item x="1"/>
        <item x="2"/>
        <item x="3"/>
        <item x="4"/>
        <item x="5"/>
        <item x="6"/>
        <item x="7"/>
        <item x="8"/>
        <item t="default"/>
      </items>
    </pivotField>
    <pivotField axis="axisRow" showAll="0">
      <items count="10">
        <item x="0"/>
        <item x="1"/>
        <item x="2"/>
        <item x="3"/>
        <item x="4"/>
        <item x="5"/>
        <item x="6"/>
        <item x="7"/>
        <item x="8"/>
        <item t="default"/>
      </items>
    </pivotField>
    <pivotField dataField="1" showAll="0">
      <items count="6">
        <item x="0"/>
        <item x="1"/>
        <item x="2"/>
        <item x="3"/>
        <item x="4"/>
        <item t="default"/>
      </items>
    </pivotField>
    <pivotField showAll="0">
      <items count="5">
        <item x="1"/>
        <item x="0"/>
        <item x="2"/>
        <item x="3"/>
        <item t="default"/>
      </items>
    </pivotField>
    <pivotField showAll="0">
      <items count="5">
        <item x="1"/>
        <item x="2"/>
        <item x="0"/>
        <item h="1" x="3"/>
        <item t="default"/>
      </items>
    </pivotField>
  </pivotFields>
  <rowFields count="1">
    <field x="6"/>
  </rowFields>
  <rowItems count="8">
    <i>
      <x v="1"/>
    </i>
    <i>
      <x v="2"/>
    </i>
    <i>
      <x v="3"/>
    </i>
    <i>
      <x v="4"/>
    </i>
    <i>
      <x v="5"/>
    </i>
    <i>
      <x v="6"/>
    </i>
    <i>
      <x v="7"/>
    </i>
    <i t="grand">
      <x/>
    </i>
  </rowItems>
  <colItems count="1">
    <i/>
  </colItems>
  <dataFields count="1">
    <dataField name="Sum of Rating" fld="7" baseField="0" baseItem="0"/>
  </dataFields>
  <chartFormats count="16">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 chart="2" format="12">
      <pivotArea type="data" outline="0" fieldPosition="0">
        <references count="2">
          <reference field="4294967294" count="1" selected="0">
            <x v="0"/>
          </reference>
          <reference field="6" count="1" selected="0">
            <x v="3"/>
          </reference>
        </references>
      </pivotArea>
    </chartFormat>
    <chartFormat chart="2" format="13">
      <pivotArea type="data" outline="0" fieldPosition="0">
        <references count="2">
          <reference field="4294967294" count="1" selected="0">
            <x v="0"/>
          </reference>
          <reference field="6" count="1" selected="0">
            <x v="4"/>
          </reference>
        </references>
      </pivotArea>
    </chartFormat>
    <chartFormat chart="2" format="14">
      <pivotArea type="data" outline="0" fieldPosition="0">
        <references count="2">
          <reference field="4294967294" count="1" selected="0">
            <x v="0"/>
          </reference>
          <reference field="6" count="1" selected="0">
            <x v="5"/>
          </reference>
        </references>
      </pivotArea>
    </chartFormat>
    <chartFormat chart="2" format="15">
      <pivotArea type="data" outline="0" fieldPosition="0">
        <references count="2">
          <reference field="4294967294" count="1" selected="0">
            <x v="0"/>
          </reference>
          <reference field="6" count="1" selected="0">
            <x v="6"/>
          </reference>
        </references>
      </pivotArea>
    </chartFormat>
    <chartFormat chart="2" format="16">
      <pivotArea type="data" outline="0" fieldPosition="0">
        <references count="2">
          <reference field="4294967294" count="1" selected="0">
            <x v="0"/>
          </reference>
          <reference field="6" count="1" selected="0">
            <x v="7"/>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4"/>
          </reference>
        </references>
      </pivotArea>
    </chartFormat>
    <chartFormat chart="0" format="5">
      <pivotArea type="data" outline="0" fieldPosition="0">
        <references count="2">
          <reference field="4294967294" count="1" selected="0">
            <x v="0"/>
          </reference>
          <reference field="6" count="1" selected="0">
            <x v="5"/>
          </reference>
        </references>
      </pivotArea>
    </chartFormat>
    <chartFormat chart="0" format="6">
      <pivotArea type="data" outline="0" fieldPosition="0">
        <references count="2">
          <reference field="4294967294" count="1" selected="0">
            <x v="0"/>
          </reference>
          <reference field="6" count="1" selected="0">
            <x v="6"/>
          </reference>
        </references>
      </pivotArea>
    </chartFormat>
    <chartFormat chart="0" format="7">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02B43C-495E-4808-B098-04531569DC5C}"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0">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4" showAll="0"/>
    <pivotField numFmtId="164" showAll="0"/>
    <pivotField showAll="0">
      <items count="9">
        <item x="0"/>
        <item x="1"/>
        <item x="2"/>
        <item x="3"/>
        <item x="4"/>
        <item x="5"/>
        <item x="6"/>
        <item x="7"/>
        <item t="default"/>
      </items>
    </pivotField>
    <pivotField showAll="0">
      <items count="102">
        <item x="92"/>
        <item x="97"/>
        <item x="77"/>
        <item x="41"/>
        <item x="48"/>
        <item x="50"/>
        <item x="96"/>
        <item x="20"/>
        <item x="93"/>
        <item x="72"/>
        <item x="49"/>
        <item x="85"/>
        <item x="81"/>
        <item x="87"/>
        <item x="99"/>
        <item x="88"/>
        <item x="16"/>
        <item x="34"/>
        <item x="29"/>
        <item x="10"/>
        <item x="73"/>
        <item x="25"/>
        <item x="82"/>
        <item x="79"/>
        <item x="39"/>
        <item x="67"/>
        <item x="80"/>
        <item x="35"/>
        <item x="5"/>
        <item x="47"/>
        <item x="46"/>
        <item x="78"/>
        <item x="65"/>
        <item x="56"/>
        <item x="61"/>
        <item x="15"/>
        <item x="98"/>
        <item x="60"/>
        <item x="13"/>
        <item x="68"/>
        <item x="52"/>
        <item x="59"/>
        <item x="40"/>
        <item x="38"/>
        <item x="22"/>
        <item x="1"/>
        <item x="12"/>
        <item x="23"/>
        <item x="89"/>
        <item x="11"/>
        <item x="57"/>
        <item x="51"/>
        <item x="0"/>
        <item x="94"/>
        <item x="7"/>
        <item x="43"/>
        <item x="4"/>
        <item x="95"/>
        <item x="26"/>
        <item x="53"/>
        <item x="44"/>
        <item x="71"/>
        <item x="18"/>
        <item x="31"/>
        <item x="6"/>
        <item x="32"/>
        <item x="2"/>
        <item x="27"/>
        <item x="45"/>
        <item x="54"/>
        <item x="90"/>
        <item x="86"/>
        <item x="14"/>
        <item x="62"/>
        <item x="76"/>
        <item x="69"/>
        <item x="83"/>
        <item x="36"/>
        <item x="3"/>
        <item x="66"/>
        <item x="75"/>
        <item x="91"/>
        <item x="19"/>
        <item x="63"/>
        <item x="42"/>
        <item x="74"/>
        <item x="55"/>
        <item x="33"/>
        <item x="84"/>
        <item x="9"/>
        <item x="21"/>
        <item x="70"/>
        <item x="8"/>
        <item x="30"/>
        <item x="37"/>
        <item x="28"/>
        <item x="17"/>
        <item x="64"/>
        <item x="24"/>
        <item x="58"/>
        <item x="100"/>
        <item t="default"/>
      </items>
    </pivotField>
    <pivotField numFmtId="10" showAll="0">
      <items count="10">
        <item x="0"/>
        <item x="1"/>
        <item x="2"/>
        <item x="3"/>
        <item x="4"/>
        <item x="5"/>
        <item x="6"/>
        <item x="7"/>
        <item x="8"/>
        <item t="default"/>
      </items>
    </pivotField>
    <pivotField showAll="0">
      <items count="10">
        <item x="0"/>
        <item x="1"/>
        <item x="2"/>
        <item x="3"/>
        <item x="4"/>
        <item x="5"/>
        <item x="6"/>
        <item x="7"/>
        <item x="8"/>
        <item t="default"/>
      </items>
    </pivotField>
    <pivotField showAll="0">
      <items count="6">
        <item x="0"/>
        <item x="1"/>
        <item x="2"/>
        <item x="3"/>
        <item x="4"/>
        <item t="default"/>
      </items>
    </pivotField>
    <pivotField showAll="0">
      <items count="5">
        <item x="1"/>
        <item x="0"/>
        <item x="2"/>
        <item x="3"/>
        <item t="default"/>
      </items>
    </pivotField>
    <pivotField axis="axisRow" showAll="0">
      <items count="5">
        <item x="1"/>
        <item x="2"/>
        <item x="0"/>
        <item h="1" x="3"/>
        <item t="default"/>
      </items>
    </pivotField>
  </pivotFields>
  <rowFields count="1">
    <field x="9"/>
  </rowFields>
  <rowItems count="4">
    <i>
      <x/>
    </i>
    <i>
      <x v="1"/>
    </i>
    <i>
      <x v="2"/>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93BE4F43-2197-4C16-8B80-794068484B00}" sourceName="Rating Category">
  <pivotTables>
    <pivotTable tabId="4" name="PivotTable2"/>
    <pivotTable tabId="3" name="PivotTable1"/>
    <pivotTable tabId="2" name="PivotTable1"/>
    <pivotTable tabId="9" name="PivotTable7"/>
    <pivotTable tabId="7" name="PivotTable5"/>
    <pivotTable tabId="6" name="PivotTable4"/>
    <pivotTable tabId="11" name="PivotTable1"/>
    <pivotTable tabId="5" name="PivotTable3"/>
    <pivotTable tabId="15" name="PivotTable5"/>
    <pivotTable tabId="14" name="PivotTable4"/>
    <pivotTable tabId="12" name="PivotTable2"/>
  </pivotTables>
  <data>
    <tabular pivotCacheId="772960437">
      <items count="4">
        <i x="1" s="1"/>
        <i x="0"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57171473-CCFC-4E52-AB6F-AD4D0DB3433E}" sourceName="Discount category">
  <pivotTables>
    <pivotTable tabId="4" name="PivotTable2"/>
    <pivotTable tabId="3" name="PivotTable1"/>
    <pivotTable tabId="2" name="PivotTable1"/>
    <pivotTable tabId="5" name="PivotTable3"/>
    <pivotTable tabId="9" name="PivotTable7"/>
    <pivotTable tabId="7" name="PivotTable5"/>
    <pivotTable tabId="6" name="PivotTable4"/>
    <pivotTable tabId="11" name="PivotTable1"/>
    <pivotTable tabId="15" name="PivotTable5"/>
    <pivotTable tabId="14" name="PivotTable4"/>
    <pivotTable tabId="12" name="PivotTable2"/>
  </pivotTables>
  <data>
    <tabular pivotCacheId="772960437">
      <items count="4">
        <i x="1" s="1"/>
        <i x="2" s="1"/>
        <i x="0"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EBF68F4C-4517-4000-BED6-C9CC8E6EBE74}" sourceName="Price range">
  <pivotTables>
    <pivotTable tabId="4" name="PivotTable2"/>
    <pivotTable tabId="3" name="PivotTable1"/>
    <pivotTable tabId="2" name="PivotTable1"/>
    <pivotTable tabId="9" name="PivotTable7"/>
    <pivotTable tabId="7" name="PivotTable5"/>
    <pivotTable tabId="6" name="PivotTable4"/>
    <pivotTable tabId="11" name="PivotTable1"/>
    <pivotTable tabId="15" name="PivotTable5"/>
    <pivotTable tabId="14" name="PivotTable4"/>
    <pivotTable tabId="12" name="PivotTable2"/>
  </pivotTables>
  <data>
    <tabular pivotCacheId="772960437">
      <items count="101">
        <i x="92" s="1"/>
        <i x="97" s="1"/>
        <i x="77" s="1"/>
        <i x="41" s="1"/>
        <i x="48" s="1"/>
        <i x="50" s="1"/>
        <i x="96" s="1"/>
        <i x="20" s="1"/>
        <i x="93" s="1"/>
        <i x="72" s="1"/>
        <i x="49" s="1"/>
        <i x="85" s="1"/>
        <i x="81" s="1"/>
        <i x="87" s="1"/>
        <i x="99" s="1"/>
        <i x="88" s="1"/>
        <i x="16" s="1"/>
        <i x="34" s="1"/>
        <i x="29" s="1"/>
        <i x="10" s="1"/>
        <i x="73" s="1"/>
        <i x="25" s="1"/>
        <i x="82" s="1"/>
        <i x="79" s="1"/>
        <i x="39" s="1"/>
        <i x="67" s="1"/>
        <i x="80" s="1"/>
        <i x="35" s="1"/>
        <i x="5" s="1"/>
        <i x="47" s="1"/>
        <i x="46" s="1"/>
        <i x="78" s="1"/>
        <i x="65" s="1"/>
        <i x="56" s="1"/>
        <i x="61" s="1"/>
        <i x="15" s="1"/>
        <i x="98" s="1"/>
        <i x="60" s="1"/>
        <i x="13" s="1"/>
        <i x="68" s="1"/>
        <i x="52" s="1"/>
        <i x="59" s="1"/>
        <i x="40" s="1"/>
        <i x="38" s="1"/>
        <i x="22" s="1"/>
        <i x="1" s="1"/>
        <i x="12" s="1"/>
        <i x="23" s="1"/>
        <i x="89" s="1"/>
        <i x="11" s="1"/>
        <i x="57" s="1"/>
        <i x="51" s="1"/>
        <i x="0" s="1"/>
        <i x="94" s="1"/>
        <i x="7" s="1"/>
        <i x="43" s="1"/>
        <i x="4" s="1"/>
        <i x="95" s="1"/>
        <i x="26" s="1"/>
        <i x="53" s="1"/>
        <i x="44" s="1"/>
        <i x="71" s="1"/>
        <i x="18" s="1"/>
        <i x="31" s="1"/>
        <i x="6" s="1"/>
        <i x="32" s="1"/>
        <i x="2" s="1"/>
        <i x="27" s="1"/>
        <i x="45" s="1"/>
        <i x="54" s="1"/>
        <i x="90" s="1"/>
        <i x="86" s="1"/>
        <i x="14" s="1"/>
        <i x="62" s="1"/>
        <i x="76" s="1"/>
        <i x="69" s="1"/>
        <i x="83" s="1"/>
        <i x="36" s="1"/>
        <i x="3" s="1"/>
        <i x="66" s="1"/>
        <i x="75" s="1"/>
        <i x="91" s="1"/>
        <i x="19" s="1"/>
        <i x="63" s="1"/>
        <i x="42" s="1"/>
        <i x="74" s="1"/>
        <i x="55" s="1"/>
        <i x="33" s="1"/>
        <i x="84" s="1"/>
        <i x="9" s="1"/>
        <i x="21" s="1"/>
        <i x="70" s="1"/>
        <i x="8" s="1"/>
        <i x="30" s="1"/>
        <i x="37" s="1"/>
        <i x="28" s="1"/>
        <i x="17" s="1"/>
        <i x="64" s="1"/>
        <i x="24" s="1"/>
        <i x="58" s="1"/>
        <i x="10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9C7402AE-FDC4-4827-A88B-313497DAAC8F}" cache="Slicer_Rating_Category" caption="Rating Category" rowHeight="241300"/>
  <slicer name="Discount category" xr10:uid="{DF9C1DDB-0F1F-43CB-84F6-F5383B47B705}" cache="Slicer_Discount_category" caption="Discount category" rowHeight="241300"/>
  <slicer name="Price range" xr10:uid="{700D004B-D160-4D47-9CDC-EA2818CE574A}" cache="Slicer_Price_range" caption="Price range" startItem="5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8713130A-9D29-43FB-BE91-EF0376ED2C06}" cache="Slicer_Rating_Category" caption="Rating Category" rowHeight="241300"/>
  <slicer name="Discount category 1" xr10:uid="{F57DA747-68EE-4C1E-BB7C-BFA74BAE5588}" cache="Slicer_Discount_category" caption="Discount category" rowHeight="241300"/>
  <slicer name="Price range 1" xr10:uid="{AC8702E5-E820-461F-BD44-2081710668FD}" cache="Slicer_Price_range" caption="Price range" startItem="9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379A8-BA00-40E4-861E-84544FAB14BD}">
  <dimension ref="A3:B7"/>
  <sheetViews>
    <sheetView workbookViewId="0">
      <selection activeCell="B5" sqref="B5"/>
    </sheetView>
  </sheetViews>
  <sheetFormatPr defaultRowHeight="14.75" x14ac:dyDescent="0.75"/>
  <cols>
    <col min="1" max="1" width="12.40625" bestFit="1" customWidth="1"/>
    <col min="2" max="2" width="14.90625" bestFit="1" customWidth="1"/>
  </cols>
  <sheetData>
    <row r="3" spans="1:2" x14ac:dyDescent="0.75">
      <c r="A3" s="7" t="s">
        <v>118</v>
      </c>
      <c r="B3" t="s">
        <v>124</v>
      </c>
    </row>
    <row r="4" spans="1:2" x14ac:dyDescent="0.75">
      <c r="A4" s="9" t="s">
        <v>142</v>
      </c>
      <c r="B4" s="11">
        <v>12</v>
      </c>
    </row>
    <row r="5" spans="1:2" x14ac:dyDescent="0.75">
      <c r="A5" s="9" t="s">
        <v>143</v>
      </c>
      <c r="B5" s="11">
        <v>61</v>
      </c>
    </row>
    <row r="6" spans="1:2" x14ac:dyDescent="0.75">
      <c r="A6" s="9" t="s">
        <v>144</v>
      </c>
      <c r="B6" s="11">
        <v>36</v>
      </c>
    </row>
    <row r="7" spans="1:2" x14ac:dyDescent="0.75">
      <c r="A7" s="9" t="s">
        <v>119</v>
      </c>
      <c r="B7" s="11">
        <v>109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2DA5F-945F-436A-8E8B-3E63C1FF74F9}">
  <dimension ref="A3:B11"/>
  <sheetViews>
    <sheetView workbookViewId="0">
      <selection activeCell="F20" sqref="F20"/>
    </sheetView>
  </sheetViews>
  <sheetFormatPr defaultRowHeight="14.75" x14ac:dyDescent="0.75"/>
  <cols>
    <col min="1" max="1" width="35.54296875" bestFit="1" customWidth="1"/>
    <col min="2" max="2" width="13.1328125" bestFit="1" customWidth="1"/>
  </cols>
  <sheetData>
    <row r="3" spans="1:2" x14ac:dyDescent="0.75">
      <c r="A3" s="7" t="s">
        <v>118</v>
      </c>
      <c r="B3" t="s">
        <v>120</v>
      </c>
    </row>
    <row r="4" spans="1:2" x14ac:dyDescent="0.75">
      <c r="A4" s="8" t="s">
        <v>128</v>
      </c>
      <c r="B4" s="11">
        <v>39</v>
      </c>
    </row>
    <row r="5" spans="1:2" x14ac:dyDescent="0.75">
      <c r="A5" s="8" t="s">
        <v>129</v>
      </c>
      <c r="B5" s="11">
        <v>5</v>
      </c>
    </row>
    <row r="6" spans="1:2" x14ac:dyDescent="0.75">
      <c r="A6" s="8" t="s">
        <v>130</v>
      </c>
      <c r="B6" s="11">
        <v>192</v>
      </c>
    </row>
    <row r="7" spans="1:2" x14ac:dyDescent="0.75">
      <c r="A7" s="8" t="s">
        <v>131</v>
      </c>
      <c r="B7" s="11">
        <v>111</v>
      </c>
    </row>
    <row r="8" spans="1:2" x14ac:dyDescent="0.75">
      <c r="A8" s="8" t="s">
        <v>132</v>
      </c>
      <c r="B8" s="11">
        <v>164</v>
      </c>
    </row>
    <row r="9" spans="1:2" x14ac:dyDescent="0.75">
      <c r="A9" s="8" t="s">
        <v>133</v>
      </c>
      <c r="B9" s="11">
        <v>206</v>
      </c>
    </row>
    <row r="10" spans="1:2" x14ac:dyDescent="0.75">
      <c r="A10" s="8" t="s">
        <v>134</v>
      </c>
      <c r="B10" s="11">
        <v>6</v>
      </c>
    </row>
    <row r="11" spans="1:2" x14ac:dyDescent="0.75">
      <c r="A11" s="8" t="s">
        <v>119</v>
      </c>
      <c r="B11" s="11">
        <v>723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27037-B9D8-4E4C-AE75-DE7FD633DB08}">
  <dimension ref="A3:B11"/>
  <sheetViews>
    <sheetView workbookViewId="0">
      <selection activeCell="A5" sqref="A5"/>
    </sheetView>
  </sheetViews>
  <sheetFormatPr defaultRowHeight="14.75" x14ac:dyDescent="0.75"/>
  <cols>
    <col min="1" max="1" width="35.54296875" bestFit="1" customWidth="1"/>
    <col min="2" max="2" width="15.58984375" bestFit="1" customWidth="1"/>
  </cols>
  <sheetData>
    <row r="3" spans="1:2" x14ac:dyDescent="0.75">
      <c r="A3" s="7" t="s">
        <v>118</v>
      </c>
      <c r="B3" t="s">
        <v>122</v>
      </c>
    </row>
    <row r="4" spans="1:2" x14ac:dyDescent="0.75">
      <c r="A4" s="8" t="s">
        <v>128</v>
      </c>
      <c r="B4" s="11">
        <v>3.3714285714285714</v>
      </c>
    </row>
    <row r="5" spans="1:2" x14ac:dyDescent="0.75">
      <c r="A5" s="8" t="s">
        <v>129</v>
      </c>
      <c r="B5" s="11">
        <v>3.9142857142857146</v>
      </c>
    </row>
    <row r="6" spans="1:2" x14ac:dyDescent="0.75">
      <c r="A6" s="8" t="s">
        <v>130</v>
      </c>
      <c r="B6" s="11">
        <v>4.1357142857142852</v>
      </c>
    </row>
    <row r="7" spans="1:2" x14ac:dyDescent="0.75">
      <c r="A7" s="8" t="s">
        <v>131</v>
      </c>
      <c r="B7" s="11">
        <v>4.0105263157894724</v>
      </c>
    </row>
    <row r="8" spans="1:2" x14ac:dyDescent="0.75">
      <c r="A8" s="8" t="s">
        <v>132</v>
      </c>
      <c r="B8" s="11">
        <v>3.8076923076923066</v>
      </c>
    </row>
    <row r="9" spans="1:2" x14ac:dyDescent="0.75">
      <c r="A9" s="8" t="s">
        <v>133</v>
      </c>
      <c r="B9" s="11">
        <v>3.7971428571428567</v>
      </c>
    </row>
    <row r="10" spans="1:2" x14ac:dyDescent="0.75">
      <c r="A10" s="8" t="s">
        <v>134</v>
      </c>
      <c r="B10" s="11">
        <v>2.2999999999999998</v>
      </c>
    </row>
    <row r="11" spans="1:2" x14ac:dyDescent="0.75">
      <c r="A11" s="8" t="s">
        <v>119</v>
      </c>
      <c r="B11" s="11">
        <v>3.8467889908256936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A101D-1B2C-4E3A-8CBF-C45A82D914CA}">
  <dimension ref="A3:B11"/>
  <sheetViews>
    <sheetView workbookViewId="0">
      <selection activeCell="H7" sqref="H7"/>
    </sheetView>
  </sheetViews>
  <sheetFormatPr defaultRowHeight="14.75" x14ac:dyDescent="0.75"/>
  <cols>
    <col min="1" max="1" width="35.54296875" bestFit="1" customWidth="1"/>
    <col min="2" max="2" width="14.90625" bestFit="1" customWidth="1"/>
  </cols>
  <sheetData>
    <row r="3" spans="1:2" x14ac:dyDescent="0.75">
      <c r="A3" s="7" t="s">
        <v>118</v>
      </c>
      <c r="B3" t="s">
        <v>124</v>
      </c>
    </row>
    <row r="4" spans="1:2" x14ac:dyDescent="0.75">
      <c r="A4" s="8" t="s">
        <v>128</v>
      </c>
      <c r="B4" s="11">
        <v>7</v>
      </c>
    </row>
    <row r="5" spans="1:2" x14ac:dyDescent="0.75">
      <c r="A5" s="8" t="s">
        <v>129</v>
      </c>
      <c r="B5" s="11">
        <v>7</v>
      </c>
    </row>
    <row r="6" spans="1:2" x14ac:dyDescent="0.75">
      <c r="A6" s="8" t="s">
        <v>130</v>
      </c>
      <c r="B6" s="11">
        <v>14</v>
      </c>
    </row>
    <row r="7" spans="1:2" x14ac:dyDescent="0.75">
      <c r="A7" s="8" t="s">
        <v>131</v>
      </c>
      <c r="B7" s="11">
        <v>19</v>
      </c>
    </row>
    <row r="8" spans="1:2" x14ac:dyDescent="0.75">
      <c r="A8" s="8" t="s">
        <v>132</v>
      </c>
      <c r="B8" s="11">
        <v>26</v>
      </c>
    </row>
    <row r="9" spans="1:2" x14ac:dyDescent="0.75">
      <c r="A9" s="8" t="s">
        <v>133</v>
      </c>
      <c r="B9" s="11">
        <v>35</v>
      </c>
    </row>
    <row r="10" spans="1:2" x14ac:dyDescent="0.75">
      <c r="A10" s="8" t="s">
        <v>134</v>
      </c>
      <c r="B10" s="11">
        <v>1</v>
      </c>
    </row>
    <row r="11" spans="1:2" x14ac:dyDescent="0.75">
      <c r="A11" s="8" t="s">
        <v>119</v>
      </c>
      <c r="B11" s="11">
        <v>109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1279F-331B-4D76-B632-9749C6B74735}">
  <dimension ref="A3:B14"/>
  <sheetViews>
    <sheetView workbookViewId="0">
      <selection activeCell="F9" sqref="F9"/>
    </sheetView>
  </sheetViews>
  <sheetFormatPr defaultRowHeight="14.75" x14ac:dyDescent="0.75"/>
  <cols>
    <col min="1" max="1" width="61.1796875" bestFit="1" customWidth="1"/>
    <col min="2" max="2" width="12.36328125" bestFit="1" customWidth="1"/>
  </cols>
  <sheetData>
    <row r="3" spans="1:2" x14ac:dyDescent="0.75">
      <c r="A3" s="7" t="s">
        <v>118</v>
      </c>
      <c r="B3" t="s">
        <v>121</v>
      </c>
    </row>
    <row r="4" spans="1:2" x14ac:dyDescent="0.75">
      <c r="A4" s="9" t="s">
        <v>16</v>
      </c>
      <c r="B4" s="11">
        <v>4.8</v>
      </c>
    </row>
    <row r="5" spans="1:2" x14ac:dyDescent="0.75">
      <c r="A5" s="9" t="s">
        <v>19</v>
      </c>
      <c r="B5" s="11">
        <v>5</v>
      </c>
    </row>
    <row r="6" spans="1:2" x14ac:dyDescent="0.75">
      <c r="A6" s="9" t="s">
        <v>73</v>
      </c>
      <c r="B6" s="11">
        <v>5</v>
      </c>
    </row>
    <row r="7" spans="1:2" x14ac:dyDescent="0.75">
      <c r="A7" s="9" t="s">
        <v>36</v>
      </c>
      <c r="B7" s="11">
        <v>5</v>
      </c>
    </row>
    <row r="8" spans="1:2" x14ac:dyDescent="0.75">
      <c r="A8" s="9" t="s">
        <v>107</v>
      </c>
      <c r="B8" s="11">
        <v>5</v>
      </c>
    </row>
    <row r="9" spans="1:2" x14ac:dyDescent="0.75">
      <c r="A9" s="9" t="s">
        <v>113</v>
      </c>
      <c r="B9" s="11">
        <v>5</v>
      </c>
    </row>
    <row r="10" spans="1:2" x14ac:dyDescent="0.75">
      <c r="A10" s="9" t="s">
        <v>21</v>
      </c>
      <c r="B10" s="11">
        <v>5</v>
      </c>
    </row>
    <row r="11" spans="1:2" x14ac:dyDescent="0.75">
      <c r="A11" s="9" t="s">
        <v>12</v>
      </c>
      <c r="B11" s="11">
        <v>4.8</v>
      </c>
    </row>
    <row r="12" spans="1:2" x14ac:dyDescent="0.75">
      <c r="A12" s="9" t="s">
        <v>20</v>
      </c>
      <c r="B12" s="11">
        <v>5</v>
      </c>
    </row>
    <row r="13" spans="1:2" x14ac:dyDescent="0.75">
      <c r="A13" s="9" t="s">
        <v>9</v>
      </c>
      <c r="B13" s="11">
        <v>4.8</v>
      </c>
    </row>
    <row r="14" spans="1:2" x14ac:dyDescent="0.75">
      <c r="A14" s="9" t="s">
        <v>119</v>
      </c>
      <c r="B14" s="11">
        <v>49.399999999999991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0AC6A-7B37-482A-8487-90E1E52371D7}">
  <dimension ref="A3:B9"/>
  <sheetViews>
    <sheetView workbookViewId="0">
      <selection activeCell="A4" sqref="A4"/>
    </sheetView>
  </sheetViews>
  <sheetFormatPr defaultRowHeight="14.75" x14ac:dyDescent="0.75"/>
  <cols>
    <col min="1" max="1" width="56.1328125" bestFit="1" customWidth="1"/>
    <col min="2" max="2" width="13.1328125" bestFit="1" customWidth="1"/>
  </cols>
  <sheetData>
    <row r="3" spans="1:2" x14ac:dyDescent="0.75">
      <c r="A3" s="7" t="s">
        <v>118</v>
      </c>
      <c r="B3" t="s">
        <v>120</v>
      </c>
    </row>
    <row r="4" spans="1:2" x14ac:dyDescent="0.75">
      <c r="A4" s="9" t="s">
        <v>15</v>
      </c>
      <c r="B4" s="11">
        <v>39</v>
      </c>
    </row>
    <row r="5" spans="1:2" x14ac:dyDescent="0.75">
      <c r="A5" s="9" t="s">
        <v>59</v>
      </c>
      <c r="B5" s="11">
        <v>69</v>
      </c>
    </row>
    <row r="6" spans="1:2" x14ac:dyDescent="0.75">
      <c r="A6" s="9" t="s">
        <v>10</v>
      </c>
      <c r="B6" s="11">
        <v>55</v>
      </c>
    </row>
    <row r="7" spans="1:2" x14ac:dyDescent="0.75">
      <c r="A7" s="9" t="s">
        <v>23</v>
      </c>
      <c r="B7" s="11">
        <v>44</v>
      </c>
    </row>
    <row r="8" spans="1:2" x14ac:dyDescent="0.75">
      <c r="A8" s="9" t="s">
        <v>27</v>
      </c>
      <c r="B8" s="11">
        <v>49</v>
      </c>
    </row>
    <row r="9" spans="1:2" x14ac:dyDescent="0.75">
      <c r="A9" s="9" t="s">
        <v>119</v>
      </c>
      <c r="B9" s="11">
        <v>256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D9422-A9ED-4579-AE54-81F30096B078}">
  <dimension ref="A3:B11"/>
  <sheetViews>
    <sheetView workbookViewId="0">
      <selection activeCell="A7" sqref="A7"/>
    </sheetView>
  </sheetViews>
  <sheetFormatPr defaultRowHeight="14.75" x14ac:dyDescent="0.75"/>
  <cols>
    <col min="1" max="1" width="35.54296875" bestFit="1" customWidth="1"/>
    <col min="2" max="2" width="17.6328125" bestFit="1" customWidth="1"/>
  </cols>
  <sheetData>
    <row r="3" spans="1:2" x14ac:dyDescent="0.75">
      <c r="A3" s="7" t="s">
        <v>118</v>
      </c>
      <c r="B3" t="s">
        <v>123</v>
      </c>
    </row>
    <row r="4" spans="1:2" x14ac:dyDescent="0.75">
      <c r="A4" s="8" t="s">
        <v>128</v>
      </c>
      <c r="B4" s="5">
        <v>4.2894783820756253E-2</v>
      </c>
    </row>
    <row r="5" spans="1:2" x14ac:dyDescent="0.75">
      <c r="A5" s="8" t="s">
        <v>129</v>
      </c>
      <c r="B5" s="5">
        <v>0.15394612844208358</v>
      </c>
    </row>
    <row r="6" spans="1:2" x14ac:dyDescent="0.75">
      <c r="A6" s="8" t="s">
        <v>130</v>
      </c>
      <c r="B6" s="5">
        <v>0.23985992101026415</v>
      </c>
    </row>
    <row r="7" spans="1:2" x14ac:dyDescent="0.75">
      <c r="A7" s="8" t="s">
        <v>131</v>
      </c>
      <c r="B7" s="5">
        <v>0.3448981117045693</v>
      </c>
    </row>
    <row r="8" spans="1:2" x14ac:dyDescent="0.75">
      <c r="A8" s="8" t="s">
        <v>132</v>
      </c>
      <c r="B8" s="5">
        <v>0.43314326262991681</v>
      </c>
    </row>
    <row r="9" spans="1:2" x14ac:dyDescent="0.75">
      <c r="A9" s="8" t="s">
        <v>133</v>
      </c>
      <c r="B9" s="5">
        <v>0.50268443247078121</v>
      </c>
    </row>
    <row r="10" spans="1:2" x14ac:dyDescent="0.75">
      <c r="A10" s="8" t="s">
        <v>134</v>
      </c>
      <c r="B10" s="5">
        <v>0.60515873015873012</v>
      </c>
    </row>
    <row r="11" spans="1:2" x14ac:dyDescent="0.75">
      <c r="A11" s="8" t="s">
        <v>119</v>
      </c>
      <c r="B11" s="5">
        <v>0.37385163392095666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3F7A7-A126-4808-82FC-C15F46C24260}">
  <dimension ref="A3:B9"/>
  <sheetViews>
    <sheetView workbookViewId="0">
      <selection activeCell="F17" sqref="F17"/>
    </sheetView>
  </sheetViews>
  <sheetFormatPr defaultRowHeight="14.75" x14ac:dyDescent="0.75"/>
  <cols>
    <col min="1" max="1" width="54.31640625" bestFit="1" customWidth="1"/>
    <col min="2" max="2" width="14.40625" bestFit="1" customWidth="1"/>
  </cols>
  <sheetData>
    <row r="3" spans="1:2" x14ac:dyDescent="0.75">
      <c r="A3" s="7" t="s">
        <v>118</v>
      </c>
      <c r="B3" t="s">
        <v>125</v>
      </c>
    </row>
    <row r="4" spans="1:2" x14ac:dyDescent="0.75">
      <c r="A4" s="9" t="s">
        <v>43</v>
      </c>
      <c r="B4" s="5">
        <v>0.54488888888888887</v>
      </c>
    </row>
    <row r="5" spans="1:2" x14ac:dyDescent="0.75">
      <c r="A5" s="9" t="s">
        <v>76</v>
      </c>
      <c r="B5" s="5">
        <v>0.55000000000000004</v>
      </c>
    </row>
    <row r="6" spans="1:2" x14ac:dyDescent="0.75">
      <c r="A6" s="9" t="s">
        <v>12</v>
      </c>
      <c r="B6" s="5">
        <v>0.54500000000000004</v>
      </c>
    </row>
    <row r="7" spans="1:2" x14ac:dyDescent="0.75">
      <c r="A7" s="9" t="s">
        <v>31</v>
      </c>
      <c r="B7" s="5">
        <v>0.54500000000000004</v>
      </c>
    </row>
    <row r="8" spans="1:2" x14ac:dyDescent="0.75">
      <c r="A8" s="9" t="s">
        <v>67</v>
      </c>
      <c r="B8" s="5">
        <v>0.60515873015873012</v>
      </c>
    </row>
    <row r="9" spans="1:2" x14ac:dyDescent="0.75">
      <c r="A9" s="9" t="s">
        <v>119</v>
      </c>
      <c r="B9" s="5">
        <v>2.7900476190476189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9CF0C-9AEC-4ADF-ACEE-9767C7045F97}">
  <dimension ref="A1"/>
  <sheetViews>
    <sheetView topLeftCell="A67" zoomScale="56" zoomScaleNormal="56" workbookViewId="0">
      <selection activeCell="A14" sqref="A14"/>
    </sheetView>
  </sheetViews>
  <sheetFormatPr defaultRowHeight="14.75" x14ac:dyDescent="0.75"/>
  <cols>
    <col min="1" max="16384" width="8.7265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623E1-B660-4649-AE64-359CF313A9EC}">
  <dimension ref="A3:B11"/>
  <sheetViews>
    <sheetView workbookViewId="0">
      <selection activeCell="G2" sqref="G2"/>
    </sheetView>
  </sheetViews>
  <sheetFormatPr defaultRowHeight="14.75" x14ac:dyDescent="0.75"/>
  <cols>
    <col min="1" max="1" width="35.54296875" bestFit="1" customWidth="1"/>
    <col min="2" max="2" width="16.31640625" bestFit="1" customWidth="1"/>
  </cols>
  <sheetData>
    <row r="3" spans="1:2" x14ac:dyDescent="0.75">
      <c r="A3" s="7" t="s">
        <v>118</v>
      </c>
      <c r="B3" t="s">
        <v>127</v>
      </c>
    </row>
    <row r="4" spans="1:2" x14ac:dyDescent="0.75">
      <c r="A4" s="8" t="s">
        <v>128</v>
      </c>
      <c r="B4" s="11">
        <v>5.5714285714285712</v>
      </c>
    </row>
    <row r="5" spans="1:2" x14ac:dyDescent="0.75">
      <c r="A5" s="8" t="s">
        <v>129</v>
      </c>
      <c r="B5" s="11">
        <v>0.7142857142857143</v>
      </c>
    </row>
    <row r="6" spans="1:2" x14ac:dyDescent="0.75">
      <c r="A6" s="8" t="s">
        <v>130</v>
      </c>
      <c r="B6" s="11">
        <v>13.714285714285714</v>
      </c>
    </row>
    <row r="7" spans="1:2" x14ac:dyDescent="0.75">
      <c r="A7" s="8" t="s">
        <v>131</v>
      </c>
      <c r="B7" s="11">
        <v>5.8421052631578947</v>
      </c>
    </row>
    <row r="8" spans="1:2" x14ac:dyDescent="0.75">
      <c r="A8" s="8" t="s">
        <v>132</v>
      </c>
      <c r="B8" s="11">
        <v>6.3076923076923075</v>
      </c>
    </row>
    <row r="9" spans="1:2" x14ac:dyDescent="0.75">
      <c r="A9" s="8" t="s">
        <v>133</v>
      </c>
      <c r="B9" s="11">
        <v>5.8857142857142861</v>
      </c>
    </row>
    <row r="10" spans="1:2" x14ac:dyDescent="0.75">
      <c r="A10" s="8" t="s">
        <v>134</v>
      </c>
      <c r="B10" s="11">
        <v>6</v>
      </c>
    </row>
    <row r="11" spans="1:2" x14ac:dyDescent="0.75">
      <c r="A11" s="8" t="s">
        <v>119</v>
      </c>
      <c r="B11" s="11">
        <v>6.6330275229357802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BE65B-8D5A-487D-AD83-EC60206582C6}">
  <dimension ref="A3:B11"/>
  <sheetViews>
    <sheetView workbookViewId="0">
      <selection activeCell="A5" sqref="A5:B5"/>
    </sheetView>
  </sheetViews>
  <sheetFormatPr defaultRowHeight="14.75" x14ac:dyDescent="0.75"/>
  <cols>
    <col min="1" max="1" width="12.40625" bestFit="1" customWidth="1"/>
    <col min="2" max="2" width="12.36328125" bestFit="1" customWidth="1"/>
  </cols>
  <sheetData>
    <row r="3" spans="1:2" x14ac:dyDescent="0.75">
      <c r="A3" s="7" t="s">
        <v>118</v>
      </c>
      <c r="B3" t="s">
        <v>121</v>
      </c>
    </row>
    <row r="4" spans="1:2" x14ac:dyDescent="0.75">
      <c r="A4" s="9" t="s">
        <v>135</v>
      </c>
      <c r="B4" s="11">
        <v>325.5000000000004</v>
      </c>
    </row>
    <row r="5" spans="1:2" x14ac:dyDescent="0.75">
      <c r="A5" s="9" t="s">
        <v>136</v>
      </c>
      <c r="B5" s="11">
        <v>50.300000000000011</v>
      </c>
    </row>
    <row r="6" spans="1:2" x14ac:dyDescent="0.75">
      <c r="A6" s="9" t="s">
        <v>137</v>
      </c>
      <c r="B6" s="11">
        <v>13.399999999999999</v>
      </c>
    </row>
    <row r="7" spans="1:2" x14ac:dyDescent="0.75">
      <c r="A7" s="9" t="s">
        <v>138</v>
      </c>
      <c r="B7" s="11">
        <v>13.5</v>
      </c>
    </row>
    <row r="8" spans="1:2" x14ac:dyDescent="0.75">
      <c r="A8" s="9" t="s">
        <v>139</v>
      </c>
      <c r="B8" s="11">
        <v>9.1999999999999993</v>
      </c>
    </row>
    <row r="9" spans="1:2" x14ac:dyDescent="0.75">
      <c r="A9" s="9" t="s">
        <v>140</v>
      </c>
      <c r="B9" s="11">
        <v>4.5999999999999996</v>
      </c>
    </row>
    <row r="10" spans="1:2" x14ac:dyDescent="0.75">
      <c r="A10" s="9" t="s">
        <v>141</v>
      </c>
      <c r="B10" s="11">
        <v>2.8</v>
      </c>
    </row>
    <row r="11" spans="1:2" x14ac:dyDescent="0.75">
      <c r="A11" s="9" t="s">
        <v>119</v>
      </c>
      <c r="B11" s="11">
        <v>419.30000000000041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2E748-22C6-4384-9537-45D85CE00934}">
  <dimension ref="A3:B7"/>
  <sheetViews>
    <sheetView topLeftCell="A3" workbookViewId="0">
      <selection activeCell="A5" sqref="A5"/>
    </sheetView>
  </sheetViews>
  <sheetFormatPr defaultRowHeight="14.75" x14ac:dyDescent="0.75"/>
  <cols>
    <col min="1" max="1" width="15.1796875" bestFit="1" customWidth="1"/>
    <col min="2" max="2" width="14.90625" bestFit="1" customWidth="1"/>
  </cols>
  <sheetData>
    <row r="3" spans="1:2" x14ac:dyDescent="0.75">
      <c r="A3" s="7" t="s">
        <v>118</v>
      </c>
      <c r="B3" t="s">
        <v>124</v>
      </c>
    </row>
    <row r="4" spans="1:2" x14ac:dyDescent="0.75">
      <c r="A4" s="9" t="s">
        <v>145</v>
      </c>
      <c r="B4" s="11">
        <v>58</v>
      </c>
    </row>
    <row r="5" spans="1:2" x14ac:dyDescent="0.75">
      <c r="A5" s="9" t="s">
        <v>146</v>
      </c>
      <c r="B5" s="11">
        <v>14</v>
      </c>
    </row>
    <row r="6" spans="1:2" x14ac:dyDescent="0.75">
      <c r="A6" s="9" t="s">
        <v>147</v>
      </c>
      <c r="B6" s="11">
        <v>37</v>
      </c>
    </row>
    <row r="7" spans="1:2" x14ac:dyDescent="0.75">
      <c r="A7" s="9" t="s">
        <v>119</v>
      </c>
      <c r="B7" s="11">
        <v>109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ADE60-7284-47F3-90A6-2B92F9088739}">
  <dimension ref="A1:J116"/>
  <sheetViews>
    <sheetView topLeftCell="D1" workbookViewId="0">
      <pane ySplit="1" topLeftCell="A2" activePane="bottomLeft" state="frozen"/>
      <selection pane="bottomLeft" activeCell="K36" sqref="K36"/>
    </sheetView>
  </sheetViews>
  <sheetFormatPr defaultRowHeight="14.75" x14ac:dyDescent="0.75"/>
  <cols>
    <col min="1" max="1" width="87" bestFit="1" customWidth="1"/>
    <col min="2" max="2" width="11.6328125" style="1" bestFit="1" customWidth="1"/>
    <col min="3" max="3" width="11.08984375" style="1" bestFit="1" customWidth="1"/>
    <col min="4" max="4" width="15.36328125" style="1" bestFit="1" customWidth="1"/>
    <col min="5" max="5" width="15.36328125" style="1" customWidth="1"/>
    <col min="6" max="6" width="11.08984375" style="5" customWidth="1"/>
    <col min="7" max="7" width="6.76953125" bestFit="1" customWidth="1"/>
    <col min="8" max="8" width="11.6796875" bestFit="1" customWidth="1"/>
    <col min="9" max="9" width="14" bestFit="1" customWidth="1"/>
    <col min="10" max="10" width="15.76953125" bestFit="1" customWidth="1"/>
  </cols>
  <sheetData>
    <row r="1" spans="1:10" x14ac:dyDescent="0.75">
      <c r="A1" s="2" t="s">
        <v>0</v>
      </c>
      <c r="B1" s="3" t="s">
        <v>1</v>
      </c>
      <c r="C1" s="3" t="s">
        <v>2</v>
      </c>
      <c r="D1" s="3" t="s">
        <v>115</v>
      </c>
      <c r="E1" s="3" t="s">
        <v>126</v>
      </c>
      <c r="F1" s="4" t="s">
        <v>3</v>
      </c>
      <c r="G1" s="2" t="s">
        <v>4</v>
      </c>
      <c r="H1" s="2" t="s">
        <v>102</v>
      </c>
      <c r="I1" s="2" t="s">
        <v>116</v>
      </c>
      <c r="J1" s="2" t="s">
        <v>117</v>
      </c>
    </row>
    <row r="2" spans="1:10" x14ac:dyDescent="0.75">
      <c r="A2" t="s">
        <v>5</v>
      </c>
      <c r="B2" s="1">
        <v>950</v>
      </c>
      <c r="C2" s="1">
        <v>1525</v>
      </c>
      <c r="D2" s="1">
        <f t="shared" ref="D2:D33" si="0">C2-B2</f>
        <v>575</v>
      </c>
      <c r="E2" s="1">
        <f>C2-B2</f>
        <v>575</v>
      </c>
      <c r="F2" s="6">
        <f t="shared" ref="F2:F22" si="1">(C2-B2)/C2</f>
        <v>0.37704918032786883</v>
      </c>
      <c r="G2">
        <v>2</v>
      </c>
      <c r="H2">
        <v>4.5</v>
      </c>
      <c r="I2" t="str">
        <f t="shared" ref="I2:I33" si="2">IF(H2&lt;3,"Poor",IF(H2&lt;4.5,"Average","Excellent"))</f>
        <v>Excellent</v>
      </c>
      <c r="J2" t="str">
        <f t="shared" ref="J2:J33" si="3">IF(F2&lt;20%,"Low discount",IF(F2&lt;= 40%,"Medium Discount","High Discount"))</f>
        <v>Medium Discount</v>
      </c>
    </row>
    <row r="3" spans="1:10" x14ac:dyDescent="0.75">
      <c r="A3" t="s">
        <v>6</v>
      </c>
      <c r="B3" s="1">
        <v>527</v>
      </c>
      <c r="C3" s="1">
        <v>999</v>
      </c>
      <c r="D3" s="1">
        <f t="shared" si="0"/>
        <v>472</v>
      </c>
      <c r="E3" s="1">
        <f t="shared" ref="E3:E66" si="4">C3-B3</f>
        <v>472</v>
      </c>
      <c r="F3" s="6">
        <f t="shared" si="1"/>
        <v>0.47247247247247248</v>
      </c>
      <c r="G3">
        <v>14</v>
      </c>
      <c r="H3">
        <v>4.0999999999999996</v>
      </c>
      <c r="I3" t="str">
        <f t="shared" si="2"/>
        <v>Average</v>
      </c>
      <c r="J3" t="str">
        <f t="shared" si="3"/>
        <v>High Discount</v>
      </c>
    </row>
    <row r="4" spans="1:10" x14ac:dyDescent="0.75">
      <c r="A4" t="s">
        <v>7</v>
      </c>
      <c r="B4" s="1">
        <v>2199</v>
      </c>
      <c r="C4" s="1">
        <v>2923</v>
      </c>
      <c r="D4" s="1">
        <f t="shared" si="0"/>
        <v>724</v>
      </c>
      <c r="E4" s="1">
        <f t="shared" si="4"/>
        <v>724</v>
      </c>
      <c r="F4" s="6">
        <f t="shared" si="1"/>
        <v>0.24769072870338693</v>
      </c>
      <c r="G4">
        <v>24</v>
      </c>
      <c r="H4">
        <v>4.5999999999999996</v>
      </c>
      <c r="I4" t="str">
        <f t="shared" si="2"/>
        <v>Excellent</v>
      </c>
      <c r="J4" t="str">
        <f t="shared" si="3"/>
        <v>Medium Discount</v>
      </c>
    </row>
    <row r="5" spans="1:10" x14ac:dyDescent="0.75">
      <c r="A5" t="s">
        <v>8</v>
      </c>
      <c r="B5" s="1">
        <v>1580</v>
      </c>
      <c r="C5" s="1">
        <v>2499</v>
      </c>
      <c r="D5" s="1">
        <f t="shared" si="0"/>
        <v>919</v>
      </c>
      <c r="E5" s="1">
        <f t="shared" si="4"/>
        <v>919</v>
      </c>
      <c r="F5" s="6">
        <f t="shared" si="1"/>
        <v>0.36774709883953582</v>
      </c>
      <c r="G5">
        <v>7</v>
      </c>
      <c r="H5">
        <v>4.7</v>
      </c>
      <c r="I5" t="str">
        <f t="shared" si="2"/>
        <v>Excellent</v>
      </c>
      <c r="J5" t="str">
        <f t="shared" si="3"/>
        <v>Medium Discount</v>
      </c>
    </row>
    <row r="6" spans="1:10" x14ac:dyDescent="0.75">
      <c r="A6" t="s">
        <v>9</v>
      </c>
      <c r="B6" s="1">
        <v>1740</v>
      </c>
      <c r="C6" s="1">
        <v>2356</v>
      </c>
      <c r="D6" s="1">
        <f t="shared" si="0"/>
        <v>616</v>
      </c>
      <c r="E6" s="1">
        <f t="shared" si="4"/>
        <v>616</v>
      </c>
      <c r="F6" s="6">
        <f t="shared" si="1"/>
        <v>0.26146010186757218</v>
      </c>
      <c r="G6">
        <v>5</v>
      </c>
      <c r="H6">
        <v>4.8</v>
      </c>
      <c r="I6" t="str">
        <f t="shared" si="2"/>
        <v>Excellent</v>
      </c>
      <c r="J6" t="str">
        <f t="shared" si="3"/>
        <v>Medium Discount</v>
      </c>
    </row>
    <row r="7" spans="1:10" x14ac:dyDescent="0.75">
      <c r="A7" t="s">
        <v>103</v>
      </c>
      <c r="B7" s="1">
        <v>2999</v>
      </c>
      <c r="C7" s="1">
        <v>3290</v>
      </c>
      <c r="D7" s="1">
        <f t="shared" si="0"/>
        <v>291</v>
      </c>
      <c r="E7" s="1">
        <f t="shared" si="4"/>
        <v>291</v>
      </c>
      <c r="F7" s="6">
        <f t="shared" si="1"/>
        <v>8.8449848024316116E-2</v>
      </c>
      <c r="G7">
        <v>15</v>
      </c>
      <c r="H7">
        <v>4</v>
      </c>
      <c r="I7" t="str">
        <f t="shared" si="2"/>
        <v>Average</v>
      </c>
      <c r="J7" t="str">
        <f t="shared" si="3"/>
        <v>Low discount</v>
      </c>
    </row>
    <row r="8" spans="1:10" x14ac:dyDescent="0.75">
      <c r="A8" t="s">
        <v>10</v>
      </c>
      <c r="B8" s="1">
        <v>2319</v>
      </c>
      <c r="C8" s="1">
        <v>3032</v>
      </c>
      <c r="D8" s="1">
        <f t="shared" si="0"/>
        <v>713</v>
      </c>
      <c r="E8" s="1">
        <f t="shared" si="4"/>
        <v>713</v>
      </c>
      <c r="F8" s="6">
        <f t="shared" si="1"/>
        <v>0.23515831134564644</v>
      </c>
      <c r="G8">
        <v>55</v>
      </c>
      <c r="H8">
        <v>4.5999999999999996</v>
      </c>
      <c r="I8" t="str">
        <f t="shared" si="2"/>
        <v>Excellent</v>
      </c>
      <c r="J8" t="str">
        <f t="shared" si="3"/>
        <v>Medium Discount</v>
      </c>
    </row>
    <row r="9" spans="1:10" x14ac:dyDescent="0.75">
      <c r="A9" t="s">
        <v>11</v>
      </c>
      <c r="B9" s="1">
        <v>988</v>
      </c>
      <c r="C9" s="1">
        <v>1580</v>
      </c>
      <c r="D9" s="1">
        <f t="shared" si="0"/>
        <v>592</v>
      </c>
      <c r="E9" s="1">
        <f t="shared" si="4"/>
        <v>592</v>
      </c>
      <c r="F9" s="6">
        <f t="shared" si="1"/>
        <v>0.37468354430379747</v>
      </c>
      <c r="G9">
        <v>2</v>
      </c>
      <c r="H9">
        <v>4</v>
      </c>
      <c r="I9" t="str">
        <f t="shared" si="2"/>
        <v>Average</v>
      </c>
      <c r="J9" t="str">
        <f t="shared" si="3"/>
        <v>Medium Discount</v>
      </c>
    </row>
    <row r="10" spans="1:10" x14ac:dyDescent="0.75">
      <c r="A10" t="s">
        <v>12</v>
      </c>
      <c r="B10" s="1">
        <v>1274</v>
      </c>
      <c r="C10" s="1">
        <v>2800</v>
      </c>
      <c r="D10" s="1">
        <f t="shared" si="0"/>
        <v>1526</v>
      </c>
      <c r="E10" s="1">
        <f t="shared" si="4"/>
        <v>1526</v>
      </c>
      <c r="F10" s="6">
        <f t="shared" si="1"/>
        <v>0.54500000000000004</v>
      </c>
      <c r="G10">
        <v>5</v>
      </c>
      <c r="H10">
        <v>4.8</v>
      </c>
      <c r="I10" t="str">
        <f t="shared" si="2"/>
        <v>Excellent</v>
      </c>
      <c r="J10" t="str">
        <f t="shared" si="3"/>
        <v>High Discount</v>
      </c>
    </row>
    <row r="11" spans="1:10" x14ac:dyDescent="0.75">
      <c r="A11" t="s">
        <v>13</v>
      </c>
      <c r="B11" s="1">
        <v>1600</v>
      </c>
      <c r="C11" s="1">
        <v>2929</v>
      </c>
      <c r="D11" s="1">
        <f t="shared" si="0"/>
        <v>1329</v>
      </c>
      <c r="E11" s="1">
        <f t="shared" si="4"/>
        <v>1329</v>
      </c>
      <c r="F11" s="6">
        <f t="shared" si="1"/>
        <v>0.45373847729600547</v>
      </c>
      <c r="G11">
        <v>5</v>
      </c>
      <c r="H11">
        <v>3.8</v>
      </c>
      <c r="I11" t="str">
        <f t="shared" si="2"/>
        <v>Average</v>
      </c>
      <c r="J11" t="str">
        <f t="shared" si="3"/>
        <v>High Discount</v>
      </c>
    </row>
    <row r="12" spans="1:10" x14ac:dyDescent="0.75">
      <c r="A12" t="s">
        <v>14</v>
      </c>
      <c r="B12" s="1">
        <v>799</v>
      </c>
      <c r="C12" s="1">
        <v>999</v>
      </c>
      <c r="D12" s="1">
        <f t="shared" si="0"/>
        <v>200</v>
      </c>
      <c r="E12" s="1">
        <f t="shared" si="4"/>
        <v>200</v>
      </c>
      <c r="F12" s="6">
        <f t="shared" si="1"/>
        <v>0.20020020020020021</v>
      </c>
      <c r="G12">
        <v>12</v>
      </c>
      <c r="H12">
        <v>4.0999999999999996</v>
      </c>
      <c r="I12" t="str">
        <f t="shared" si="2"/>
        <v>Average</v>
      </c>
      <c r="J12" t="str">
        <f t="shared" si="3"/>
        <v>Medium Discount</v>
      </c>
    </row>
    <row r="13" spans="1:10" x14ac:dyDescent="0.75">
      <c r="A13" t="s">
        <v>15</v>
      </c>
      <c r="B13" s="1">
        <v>990</v>
      </c>
      <c r="C13" s="1">
        <v>1500</v>
      </c>
      <c r="D13" s="1">
        <f t="shared" si="0"/>
        <v>510</v>
      </c>
      <c r="E13" s="1">
        <f t="shared" si="4"/>
        <v>510</v>
      </c>
      <c r="F13" s="6">
        <f t="shared" si="1"/>
        <v>0.34</v>
      </c>
      <c r="G13">
        <v>39</v>
      </c>
      <c r="H13">
        <v>4.7</v>
      </c>
      <c r="I13" t="str">
        <f t="shared" si="2"/>
        <v>Excellent</v>
      </c>
      <c r="J13" t="str">
        <f t="shared" si="3"/>
        <v>Medium Discount</v>
      </c>
    </row>
    <row r="14" spans="1:10" x14ac:dyDescent="0.75">
      <c r="A14" t="s">
        <v>16</v>
      </c>
      <c r="B14" s="1">
        <v>552</v>
      </c>
      <c r="C14" s="1">
        <v>1035</v>
      </c>
      <c r="D14" s="1">
        <f t="shared" si="0"/>
        <v>483</v>
      </c>
      <c r="E14" s="1">
        <f t="shared" si="4"/>
        <v>483</v>
      </c>
      <c r="F14" s="6">
        <f t="shared" si="1"/>
        <v>0.46666666666666667</v>
      </c>
      <c r="G14">
        <v>12</v>
      </c>
      <c r="H14">
        <v>4.8</v>
      </c>
      <c r="I14" t="str">
        <f t="shared" si="2"/>
        <v>Excellent</v>
      </c>
      <c r="J14" t="str">
        <f t="shared" si="3"/>
        <v>High Discount</v>
      </c>
    </row>
    <row r="15" spans="1:10" x14ac:dyDescent="0.75">
      <c r="A15" t="s">
        <v>17</v>
      </c>
      <c r="B15" s="1">
        <v>501</v>
      </c>
      <c r="C15" s="1">
        <v>860</v>
      </c>
      <c r="D15" s="1">
        <f t="shared" si="0"/>
        <v>359</v>
      </c>
      <c r="E15" s="1">
        <f t="shared" si="4"/>
        <v>359</v>
      </c>
      <c r="F15" s="6">
        <f t="shared" si="1"/>
        <v>0.41744186046511628</v>
      </c>
      <c r="G15">
        <v>6</v>
      </c>
      <c r="H15">
        <v>4.5</v>
      </c>
      <c r="I15" t="str">
        <f t="shared" si="2"/>
        <v>Excellent</v>
      </c>
      <c r="J15" t="str">
        <f t="shared" si="3"/>
        <v>High Discount</v>
      </c>
    </row>
    <row r="16" spans="1:10" x14ac:dyDescent="0.75">
      <c r="A16" t="s">
        <v>18</v>
      </c>
      <c r="B16" s="1">
        <v>1680</v>
      </c>
      <c r="C16" s="1">
        <v>2499</v>
      </c>
      <c r="D16" s="1">
        <f t="shared" si="0"/>
        <v>819</v>
      </c>
      <c r="E16" s="1">
        <f t="shared" si="4"/>
        <v>819</v>
      </c>
      <c r="F16" s="6">
        <f t="shared" si="1"/>
        <v>0.32773109243697479</v>
      </c>
      <c r="G16">
        <v>9</v>
      </c>
      <c r="H16">
        <v>4.2</v>
      </c>
      <c r="I16" t="str">
        <f t="shared" si="2"/>
        <v>Average</v>
      </c>
      <c r="J16" t="str">
        <f t="shared" si="3"/>
        <v>Medium Discount</v>
      </c>
    </row>
    <row r="17" spans="1:10" x14ac:dyDescent="0.75">
      <c r="A17" t="s">
        <v>19</v>
      </c>
      <c r="B17" s="1">
        <v>332</v>
      </c>
      <c r="C17" s="1">
        <v>684</v>
      </c>
      <c r="D17" s="1">
        <f t="shared" si="0"/>
        <v>352</v>
      </c>
      <c r="E17" s="1">
        <f t="shared" si="4"/>
        <v>352</v>
      </c>
      <c r="F17" s="6">
        <f t="shared" si="1"/>
        <v>0.51461988304093564</v>
      </c>
      <c r="G17">
        <v>2</v>
      </c>
      <c r="H17">
        <v>5</v>
      </c>
      <c r="I17" t="str">
        <f t="shared" si="2"/>
        <v>Excellent</v>
      </c>
      <c r="J17" t="str">
        <f t="shared" si="3"/>
        <v>High Discount</v>
      </c>
    </row>
    <row r="18" spans="1:10" x14ac:dyDescent="0.75">
      <c r="A18" t="s">
        <v>20</v>
      </c>
      <c r="B18" s="1">
        <v>195</v>
      </c>
      <c r="C18" s="1">
        <v>360</v>
      </c>
      <c r="D18" s="1">
        <f t="shared" si="0"/>
        <v>165</v>
      </c>
      <c r="E18" s="1">
        <f t="shared" si="4"/>
        <v>165</v>
      </c>
      <c r="F18" s="6">
        <f t="shared" si="1"/>
        <v>0.45833333333333331</v>
      </c>
      <c r="G18">
        <v>2</v>
      </c>
      <c r="H18">
        <v>5</v>
      </c>
      <c r="I18" t="str">
        <f t="shared" si="2"/>
        <v>Excellent</v>
      </c>
      <c r="J18" t="str">
        <f t="shared" si="3"/>
        <v>High Discount</v>
      </c>
    </row>
    <row r="19" spans="1:10" x14ac:dyDescent="0.75">
      <c r="A19" t="s">
        <v>21</v>
      </c>
      <c r="B19" s="1">
        <v>2025</v>
      </c>
      <c r="C19" s="1">
        <v>3971</v>
      </c>
      <c r="D19" s="1">
        <f t="shared" si="0"/>
        <v>1946</v>
      </c>
      <c r="E19" s="1">
        <f t="shared" si="4"/>
        <v>1946</v>
      </c>
      <c r="F19" s="6">
        <f t="shared" si="1"/>
        <v>0.49005288340468395</v>
      </c>
      <c r="G19">
        <v>3</v>
      </c>
      <c r="H19">
        <v>5</v>
      </c>
      <c r="I19" t="str">
        <f t="shared" si="2"/>
        <v>Excellent</v>
      </c>
      <c r="J19" t="str">
        <f t="shared" si="3"/>
        <v>High Discount</v>
      </c>
    </row>
    <row r="20" spans="1:10" x14ac:dyDescent="0.75">
      <c r="A20" t="s">
        <v>22</v>
      </c>
      <c r="B20" s="1">
        <v>2999</v>
      </c>
      <c r="C20" s="1">
        <v>3699</v>
      </c>
      <c r="D20" s="1">
        <f t="shared" si="0"/>
        <v>700</v>
      </c>
      <c r="E20" s="1">
        <f t="shared" si="4"/>
        <v>700</v>
      </c>
      <c r="F20" s="6">
        <f t="shared" si="1"/>
        <v>0.18924033522573669</v>
      </c>
      <c r="G20">
        <v>5</v>
      </c>
      <c r="H20">
        <v>4.5999999999999996</v>
      </c>
      <c r="I20" t="str">
        <f t="shared" si="2"/>
        <v>Excellent</v>
      </c>
      <c r="J20" t="str">
        <f t="shared" si="3"/>
        <v>Low discount</v>
      </c>
    </row>
    <row r="21" spans="1:10" x14ac:dyDescent="0.75">
      <c r="A21" t="s">
        <v>23</v>
      </c>
      <c r="B21" s="1">
        <v>998</v>
      </c>
      <c r="C21" s="1">
        <v>1966</v>
      </c>
      <c r="D21" s="1">
        <f t="shared" si="0"/>
        <v>968</v>
      </c>
      <c r="E21" s="1">
        <f t="shared" si="4"/>
        <v>968</v>
      </c>
      <c r="F21" s="6">
        <f t="shared" si="1"/>
        <v>0.49237029501525942</v>
      </c>
      <c r="G21">
        <v>44</v>
      </c>
      <c r="H21">
        <v>4.5999999999999996</v>
      </c>
      <c r="I21" t="str">
        <f t="shared" si="2"/>
        <v>Excellent</v>
      </c>
      <c r="J21" t="str">
        <f t="shared" si="3"/>
        <v>High Discount</v>
      </c>
    </row>
    <row r="22" spans="1:10" x14ac:dyDescent="0.75">
      <c r="A22" t="s">
        <v>24</v>
      </c>
      <c r="B22" s="1">
        <v>38</v>
      </c>
      <c r="C22" s="1">
        <v>80</v>
      </c>
      <c r="D22" s="1">
        <f t="shared" si="0"/>
        <v>42</v>
      </c>
      <c r="E22" s="1">
        <f t="shared" si="4"/>
        <v>42</v>
      </c>
      <c r="F22" s="6">
        <f t="shared" si="1"/>
        <v>0.52500000000000002</v>
      </c>
      <c r="G22">
        <v>13</v>
      </c>
      <c r="H22">
        <v>3.3</v>
      </c>
      <c r="I22" t="str">
        <f t="shared" si="2"/>
        <v>Average</v>
      </c>
      <c r="J22" t="str">
        <f t="shared" si="3"/>
        <v>High Discount</v>
      </c>
    </row>
    <row r="23" spans="1:10" x14ac:dyDescent="0.75">
      <c r="A23" t="s">
        <v>104</v>
      </c>
      <c r="B23" s="1">
        <v>1860</v>
      </c>
      <c r="C23" s="1">
        <v>3220</v>
      </c>
      <c r="D23" s="1">
        <f t="shared" si="0"/>
        <v>1360</v>
      </c>
      <c r="E23" s="1">
        <f t="shared" si="4"/>
        <v>1360</v>
      </c>
      <c r="F23" s="5">
        <f t="shared" ref="F23:F54" si="5">(C2-B2)/C2</f>
        <v>0.37704918032786883</v>
      </c>
      <c r="G23">
        <v>0</v>
      </c>
      <c r="H23">
        <v>3.8</v>
      </c>
      <c r="I23" t="str">
        <f t="shared" si="2"/>
        <v>Average</v>
      </c>
      <c r="J23" t="str">
        <f t="shared" si="3"/>
        <v>Medium Discount</v>
      </c>
    </row>
    <row r="24" spans="1:10" x14ac:dyDescent="0.75">
      <c r="A24" t="s">
        <v>105</v>
      </c>
      <c r="B24" s="1">
        <v>880</v>
      </c>
      <c r="C24" s="1">
        <v>1350</v>
      </c>
      <c r="D24" s="1">
        <f t="shared" si="0"/>
        <v>470</v>
      </c>
      <c r="E24" s="1">
        <f t="shared" si="4"/>
        <v>470</v>
      </c>
      <c r="F24" s="5">
        <f t="shared" si="5"/>
        <v>0.47247247247247248</v>
      </c>
      <c r="G24">
        <v>6</v>
      </c>
      <c r="H24">
        <v>4</v>
      </c>
      <c r="I24" t="str">
        <f t="shared" si="2"/>
        <v>Average</v>
      </c>
      <c r="J24" t="str">
        <f t="shared" si="3"/>
        <v>High Discount</v>
      </c>
    </row>
    <row r="25" spans="1:10" x14ac:dyDescent="0.75">
      <c r="A25" t="s">
        <v>25</v>
      </c>
      <c r="B25" s="1">
        <v>1650</v>
      </c>
      <c r="C25" s="1">
        <v>2150</v>
      </c>
      <c r="D25" s="1">
        <f t="shared" si="0"/>
        <v>500</v>
      </c>
      <c r="E25" s="1">
        <f t="shared" si="4"/>
        <v>500</v>
      </c>
      <c r="F25" s="5">
        <f t="shared" si="5"/>
        <v>0.24769072870338693</v>
      </c>
      <c r="G25">
        <v>14</v>
      </c>
      <c r="H25">
        <v>4.4000000000000004</v>
      </c>
      <c r="I25" t="str">
        <f t="shared" si="2"/>
        <v>Average</v>
      </c>
      <c r="J25" t="str">
        <f t="shared" si="3"/>
        <v>Medium Discount</v>
      </c>
    </row>
    <row r="26" spans="1:10" x14ac:dyDescent="0.75">
      <c r="A26" t="s">
        <v>26</v>
      </c>
      <c r="B26" s="1">
        <v>2048</v>
      </c>
      <c r="C26" s="1">
        <v>4500</v>
      </c>
      <c r="D26" s="1">
        <f t="shared" si="0"/>
        <v>2452</v>
      </c>
      <c r="E26" s="1">
        <f t="shared" si="4"/>
        <v>2452</v>
      </c>
      <c r="F26" s="5">
        <f t="shared" si="5"/>
        <v>0.36774709883953582</v>
      </c>
      <c r="G26">
        <v>7</v>
      </c>
      <c r="H26">
        <v>4.3</v>
      </c>
      <c r="I26" t="str">
        <f t="shared" si="2"/>
        <v>Average</v>
      </c>
      <c r="J26" t="str">
        <f t="shared" si="3"/>
        <v>Medium Discount</v>
      </c>
    </row>
    <row r="27" spans="1:10" x14ac:dyDescent="0.75">
      <c r="A27" t="s">
        <v>27</v>
      </c>
      <c r="B27" s="1">
        <v>420</v>
      </c>
      <c r="C27" s="1">
        <v>647</v>
      </c>
      <c r="D27" s="1">
        <f t="shared" si="0"/>
        <v>227</v>
      </c>
      <c r="E27" s="1">
        <f t="shared" si="4"/>
        <v>227</v>
      </c>
      <c r="F27" s="5">
        <f t="shared" si="5"/>
        <v>0.26146010186757218</v>
      </c>
      <c r="G27">
        <v>49</v>
      </c>
      <c r="H27">
        <v>4.5999999999999996</v>
      </c>
      <c r="I27" t="str">
        <f t="shared" si="2"/>
        <v>Excellent</v>
      </c>
      <c r="J27" t="str">
        <f t="shared" si="3"/>
        <v>Medium Discount</v>
      </c>
    </row>
    <row r="28" spans="1:10" x14ac:dyDescent="0.75">
      <c r="A28" t="s">
        <v>28</v>
      </c>
      <c r="B28" s="1">
        <v>2880</v>
      </c>
      <c r="C28" s="1">
        <v>3520</v>
      </c>
      <c r="D28" s="1">
        <f t="shared" si="0"/>
        <v>640</v>
      </c>
      <c r="E28" s="1">
        <f t="shared" si="4"/>
        <v>640</v>
      </c>
      <c r="F28" s="5">
        <f t="shared" si="5"/>
        <v>8.8449848024316116E-2</v>
      </c>
      <c r="G28">
        <v>12</v>
      </c>
      <c r="H28">
        <v>3.8</v>
      </c>
      <c r="I28" t="str">
        <f t="shared" si="2"/>
        <v>Average</v>
      </c>
      <c r="J28" t="str">
        <f t="shared" si="3"/>
        <v>Low discount</v>
      </c>
    </row>
    <row r="29" spans="1:10" x14ac:dyDescent="0.75">
      <c r="A29" t="s">
        <v>29</v>
      </c>
      <c r="B29" s="1">
        <v>1350</v>
      </c>
      <c r="C29" s="1">
        <v>1990</v>
      </c>
      <c r="D29" s="1">
        <f t="shared" si="0"/>
        <v>640</v>
      </c>
      <c r="E29" s="1">
        <f t="shared" si="4"/>
        <v>640</v>
      </c>
      <c r="F29" s="5">
        <f t="shared" si="5"/>
        <v>0.23515831134564644</v>
      </c>
      <c r="G29">
        <v>13</v>
      </c>
      <c r="H29">
        <v>3.8</v>
      </c>
      <c r="I29" t="str">
        <f t="shared" si="2"/>
        <v>Average</v>
      </c>
      <c r="J29" t="str">
        <f t="shared" si="3"/>
        <v>Medium Discount</v>
      </c>
    </row>
    <row r="30" spans="1:10" x14ac:dyDescent="0.75">
      <c r="A30" t="s">
        <v>30</v>
      </c>
      <c r="B30" s="1">
        <v>1758</v>
      </c>
      <c r="C30" s="1">
        <v>2499</v>
      </c>
      <c r="D30" s="1">
        <f t="shared" si="0"/>
        <v>741</v>
      </c>
      <c r="E30" s="1">
        <f t="shared" si="4"/>
        <v>741</v>
      </c>
      <c r="F30" s="5">
        <f t="shared" si="5"/>
        <v>0.37468354430379747</v>
      </c>
      <c r="G30">
        <v>20</v>
      </c>
      <c r="H30">
        <v>4.0999999999999996</v>
      </c>
      <c r="I30" t="str">
        <f t="shared" si="2"/>
        <v>Average</v>
      </c>
      <c r="J30" t="str">
        <f t="shared" si="3"/>
        <v>Medium Discount</v>
      </c>
    </row>
    <row r="31" spans="1:10" x14ac:dyDescent="0.75">
      <c r="A31" t="s">
        <v>31</v>
      </c>
      <c r="B31" s="1">
        <v>2200</v>
      </c>
      <c r="C31" s="1">
        <v>4080</v>
      </c>
      <c r="D31" s="1">
        <f t="shared" si="0"/>
        <v>1880</v>
      </c>
      <c r="E31" s="1">
        <f t="shared" si="4"/>
        <v>1880</v>
      </c>
      <c r="F31" s="5">
        <f t="shared" si="5"/>
        <v>0.54500000000000004</v>
      </c>
      <c r="G31">
        <v>0</v>
      </c>
      <c r="H31">
        <v>3.8</v>
      </c>
      <c r="I31" t="str">
        <f t="shared" si="2"/>
        <v>Average</v>
      </c>
      <c r="J31" t="str">
        <f t="shared" si="3"/>
        <v>High Discount</v>
      </c>
    </row>
    <row r="32" spans="1:10" x14ac:dyDescent="0.75">
      <c r="A32" t="s">
        <v>32</v>
      </c>
      <c r="B32" s="1">
        <v>185</v>
      </c>
      <c r="C32" s="1">
        <v>382</v>
      </c>
      <c r="D32" s="1">
        <f t="shared" si="0"/>
        <v>197</v>
      </c>
      <c r="E32" s="1">
        <f t="shared" si="4"/>
        <v>197</v>
      </c>
      <c r="F32" s="5">
        <f t="shared" si="5"/>
        <v>0.45373847729600547</v>
      </c>
      <c r="G32">
        <v>9</v>
      </c>
      <c r="H32">
        <v>4.3</v>
      </c>
      <c r="I32" t="str">
        <f t="shared" si="2"/>
        <v>Average</v>
      </c>
      <c r="J32" t="str">
        <f t="shared" si="3"/>
        <v>High Discount</v>
      </c>
    </row>
    <row r="33" spans="1:10" x14ac:dyDescent="0.75">
      <c r="A33" t="s">
        <v>33</v>
      </c>
      <c r="B33" s="1">
        <v>980</v>
      </c>
      <c r="C33" s="1">
        <v>1490</v>
      </c>
      <c r="D33" s="1">
        <f t="shared" si="0"/>
        <v>510</v>
      </c>
      <c r="E33" s="1">
        <f t="shared" si="4"/>
        <v>510</v>
      </c>
      <c r="F33" s="5">
        <f t="shared" si="5"/>
        <v>0.20020020020020021</v>
      </c>
      <c r="G33">
        <v>12</v>
      </c>
      <c r="H33">
        <v>4.7</v>
      </c>
      <c r="I33" t="str">
        <f t="shared" si="2"/>
        <v>Excellent</v>
      </c>
      <c r="J33" t="str">
        <f t="shared" si="3"/>
        <v>Medium Discount</v>
      </c>
    </row>
    <row r="34" spans="1:10" x14ac:dyDescent="0.75">
      <c r="A34" t="s">
        <v>106</v>
      </c>
      <c r="B34" s="1">
        <v>1820</v>
      </c>
      <c r="C34" s="1">
        <v>3490</v>
      </c>
      <c r="D34" s="1">
        <f t="shared" ref="D34:D65" si="6">C34-B34</f>
        <v>1670</v>
      </c>
      <c r="E34" s="1">
        <f t="shared" si="4"/>
        <v>1670</v>
      </c>
      <c r="F34" s="5">
        <f t="shared" si="5"/>
        <v>0.34</v>
      </c>
      <c r="G34">
        <v>9</v>
      </c>
      <c r="H34">
        <v>4.3</v>
      </c>
      <c r="I34" t="str">
        <f t="shared" ref="I34:I65" si="7">IF(H34&lt;3,"Poor",IF(H34&lt;4.5,"Average","Excellent"))</f>
        <v>Average</v>
      </c>
      <c r="J34" t="str">
        <f t="shared" ref="J34:J65" si="8">IF(F34&lt;20%,"Low discount",IF(F34&lt;= 40%,"Medium Discount","High Discount"))</f>
        <v>Medium Discount</v>
      </c>
    </row>
    <row r="35" spans="1:10" x14ac:dyDescent="0.75">
      <c r="A35" t="s">
        <v>34</v>
      </c>
      <c r="B35" s="1">
        <v>1940</v>
      </c>
      <c r="C35" s="1">
        <v>2650</v>
      </c>
      <c r="D35" s="1">
        <f t="shared" si="6"/>
        <v>710</v>
      </c>
      <c r="E35" s="1">
        <f t="shared" si="4"/>
        <v>710</v>
      </c>
      <c r="F35" s="5">
        <f t="shared" si="5"/>
        <v>0.46666666666666667</v>
      </c>
      <c r="G35">
        <v>20</v>
      </c>
      <c r="H35">
        <v>4.7</v>
      </c>
      <c r="I35" t="str">
        <f t="shared" si="7"/>
        <v>Excellent</v>
      </c>
      <c r="J35" t="str">
        <f t="shared" si="8"/>
        <v>High Discount</v>
      </c>
    </row>
    <row r="36" spans="1:10" x14ac:dyDescent="0.75">
      <c r="A36" t="s">
        <v>35</v>
      </c>
      <c r="B36" s="1">
        <v>1980</v>
      </c>
      <c r="C36" s="1">
        <v>2699</v>
      </c>
      <c r="D36" s="1">
        <f t="shared" si="6"/>
        <v>719</v>
      </c>
      <c r="E36" s="1">
        <f t="shared" si="4"/>
        <v>719</v>
      </c>
      <c r="F36" s="5">
        <f t="shared" si="5"/>
        <v>0.41744186046511628</v>
      </c>
      <c r="G36">
        <v>32</v>
      </c>
      <c r="H36">
        <v>4.5</v>
      </c>
      <c r="I36" t="str">
        <f t="shared" si="7"/>
        <v>Excellent</v>
      </c>
      <c r="J36" t="str">
        <f t="shared" si="8"/>
        <v>High Discount</v>
      </c>
    </row>
    <row r="37" spans="1:10" x14ac:dyDescent="0.75">
      <c r="A37" t="s">
        <v>107</v>
      </c>
      <c r="B37" s="1">
        <v>1620</v>
      </c>
      <c r="C37" s="1">
        <v>2690</v>
      </c>
      <c r="D37" s="1">
        <f t="shared" si="6"/>
        <v>1070</v>
      </c>
      <c r="E37" s="1">
        <f t="shared" si="4"/>
        <v>1070</v>
      </c>
      <c r="F37" s="5">
        <f t="shared" si="5"/>
        <v>0.32773109243697479</v>
      </c>
      <c r="G37">
        <v>1</v>
      </c>
      <c r="H37">
        <v>5</v>
      </c>
      <c r="I37" t="str">
        <f t="shared" si="7"/>
        <v>Excellent</v>
      </c>
      <c r="J37" t="str">
        <f t="shared" si="8"/>
        <v>Medium Discount</v>
      </c>
    </row>
    <row r="38" spans="1:10" x14ac:dyDescent="0.75">
      <c r="A38" t="s">
        <v>36</v>
      </c>
      <c r="B38" s="1">
        <v>171</v>
      </c>
      <c r="C38" s="1">
        <v>360</v>
      </c>
      <c r="D38" s="1">
        <f t="shared" si="6"/>
        <v>189</v>
      </c>
      <c r="E38" s="1">
        <f t="shared" si="4"/>
        <v>189</v>
      </c>
      <c r="F38" s="5">
        <f t="shared" si="5"/>
        <v>0.51461988304093564</v>
      </c>
      <c r="G38">
        <v>2</v>
      </c>
      <c r="H38">
        <v>5</v>
      </c>
      <c r="I38" t="str">
        <f t="shared" si="7"/>
        <v>Excellent</v>
      </c>
      <c r="J38" t="str">
        <f t="shared" si="8"/>
        <v>High Discount</v>
      </c>
    </row>
    <row r="39" spans="1:10" x14ac:dyDescent="0.75">
      <c r="A39" t="s">
        <v>37</v>
      </c>
      <c r="B39" s="1">
        <v>389</v>
      </c>
      <c r="C39" s="1">
        <v>656</v>
      </c>
      <c r="D39" s="1">
        <f t="shared" si="6"/>
        <v>267</v>
      </c>
      <c r="E39" s="1">
        <f t="shared" si="4"/>
        <v>267</v>
      </c>
      <c r="F39" s="5">
        <f t="shared" si="5"/>
        <v>0.45833333333333331</v>
      </c>
      <c r="G39">
        <v>36</v>
      </c>
      <c r="H39">
        <v>4.3</v>
      </c>
      <c r="I39" t="str">
        <f t="shared" si="7"/>
        <v>Average</v>
      </c>
      <c r="J39" t="str">
        <f t="shared" si="8"/>
        <v>High Discount</v>
      </c>
    </row>
    <row r="40" spans="1:10" x14ac:dyDescent="0.75">
      <c r="A40" t="s">
        <v>108</v>
      </c>
      <c r="B40" s="1">
        <v>1800</v>
      </c>
      <c r="C40" s="1">
        <v>2700</v>
      </c>
      <c r="D40" s="1">
        <f t="shared" si="6"/>
        <v>900</v>
      </c>
      <c r="E40" s="1">
        <f t="shared" si="4"/>
        <v>900</v>
      </c>
      <c r="F40" s="5">
        <f t="shared" si="5"/>
        <v>0.49005288340468395</v>
      </c>
      <c r="G40">
        <v>2</v>
      </c>
      <c r="H40">
        <v>4.5</v>
      </c>
      <c r="I40" t="str">
        <f t="shared" si="7"/>
        <v>Excellent</v>
      </c>
      <c r="J40" t="str">
        <f t="shared" si="8"/>
        <v>High Discount</v>
      </c>
    </row>
    <row r="41" spans="1:10" x14ac:dyDescent="0.75">
      <c r="A41" t="s">
        <v>38</v>
      </c>
      <c r="B41" s="1">
        <v>2750</v>
      </c>
      <c r="C41" s="1">
        <v>4471</v>
      </c>
      <c r="D41" s="1">
        <f t="shared" si="6"/>
        <v>1721</v>
      </c>
      <c r="E41" s="1">
        <f t="shared" si="4"/>
        <v>1721</v>
      </c>
      <c r="F41" s="5">
        <f t="shared" si="5"/>
        <v>0.18924033522573669</v>
      </c>
      <c r="G41">
        <v>0</v>
      </c>
      <c r="H41">
        <v>3.8</v>
      </c>
      <c r="I41" t="str">
        <f t="shared" si="7"/>
        <v>Average</v>
      </c>
      <c r="J41" t="str">
        <f t="shared" si="8"/>
        <v>Low discount</v>
      </c>
    </row>
    <row r="42" spans="1:10" x14ac:dyDescent="0.75">
      <c r="A42" t="s">
        <v>39</v>
      </c>
      <c r="B42" s="1">
        <v>475</v>
      </c>
      <c r="C42" s="1">
        <v>931</v>
      </c>
      <c r="D42" s="1">
        <f t="shared" si="6"/>
        <v>456</v>
      </c>
      <c r="E42" s="1">
        <f t="shared" si="4"/>
        <v>456</v>
      </c>
      <c r="F42" s="5">
        <f t="shared" si="5"/>
        <v>0.49237029501525942</v>
      </c>
      <c r="G42">
        <v>0</v>
      </c>
      <c r="H42">
        <v>3.8</v>
      </c>
      <c r="I42" t="str">
        <f t="shared" si="7"/>
        <v>Average</v>
      </c>
      <c r="J42" t="str">
        <f t="shared" si="8"/>
        <v>High Discount</v>
      </c>
    </row>
    <row r="43" spans="1:10" x14ac:dyDescent="0.75">
      <c r="A43" t="s">
        <v>40</v>
      </c>
      <c r="B43" s="1">
        <v>238</v>
      </c>
      <c r="C43" s="1">
        <v>476</v>
      </c>
      <c r="D43" s="1">
        <f t="shared" si="6"/>
        <v>238</v>
      </c>
      <c r="E43" s="1">
        <f t="shared" si="4"/>
        <v>238</v>
      </c>
      <c r="F43" s="5">
        <f t="shared" si="5"/>
        <v>0.52500000000000002</v>
      </c>
      <c r="G43">
        <v>0</v>
      </c>
      <c r="H43">
        <v>3.8</v>
      </c>
      <c r="I43" t="str">
        <f t="shared" si="7"/>
        <v>Average</v>
      </c>
      <c r="J43" t="str">
        <f t="shared" si="8"/>
        <v>High Discount</v>
      </c>
    </row>
    <row r="44" spans="1:10" x14ac:dyDescent="0.75">
      <c r="A44" t="s">
        <v>109</v>
      </c>
      <c r="B44" s="1">
        <v>610</v>
      </c>
      <c r="C44" s="1">
        <v>1060</v>
      </c>
      <c r="D44" s="1">
        <f t="shared" si="6"/>
        <v>450</v>
      </c>
      <c r="E44" s="1">
        <f t="shared" si="4"/>
        <v>450</v>
      </c>
      <c r="F44" s="5">
        <f t="shared" si="5"/>
        <v>0.42236024844720499</v>
      </c>
      <c r="G44">
        <v>0</v>
      </c>
      <c r="H44">
        <v>3.8</v>
      </c>
      <c r="I44" t="str">
        <f t="shared" si="7"/>
        <v>Average</v>
      </c>
      <c r="J44" t="str">
        <f t="shared" si="8"/>
        <v>High Discount</v>
      </c>
    </row>
    <row r="45" spans="1:10" x14ac:dyDescent="0.75">
      <c r="A45" t="s">
        <v>41</v>
      </c>
      <c r="B45" s="1">
        <v>2132</v>
      </c>
      <c r="C45" s="1">
        <v>2169</v>
      </c>
      <c r="D45" s="1">
        <f t="shared" si="6"/>
        <v>37</v>
      </c>
      <c r="E45" s="1">
        <f t="shared" si="4"/>
        <v>37</v>
      </c>
      <c r="F45" s="5">
        <f t="shared" si="5"/>
        <v>0.34814814814814815</v>
      </c>
      <c r="G45">
        <v>0</v>
      </c>
      <c r="H45">
        <v>3.8</v>
      </c>
      <c r="I45" t="str">
        <f t="shared" si="7"/>
        <v>Average</v>
      </c>
      <c r="J45" t="str">
        <f t="shared" si="8"/>
        <v>Medium Discount</v>
      </c>
    </row>
    <row r="46" spans="1:10" x14ac:dyDescent="0.75">
      <c r="A46" t="s">
        <v>42</v>
      </c>
      <c r="B46" s="1">
        <v>999</v>
      </c>
      <c r="C46" s="1">
        <v>2000</v>
      </c>
      <c r="D46" s="1">
        <f t="shared" si="6"/>
        <v>1001</v>
      </c>
      <c r="E46" s="1">
        <f t="shared" si="4"/>
        <v>1001</v>
      </c>
      <c r="F46" s="5">
        <f t="shared" si="5"/>
        <v>0.23255813953488372</v>
      </c>
      <c r="G46">
        <v>0</v>
      </c>
      <c r="H46">
        <v>3.8</v>
      </c>
      <c r="I46" t="str">
        <f t="shared" si="7"/>
        <v>Average</v>
      </c>
      <c r="J46" t="str">
        <f t="shared" si="8"/>
        <v>Medium Discount</v>
      </c>
    </row>
    <row r="47" spans="1:10" x14ac:dyDescent="0.75">
      <c r="A47" t="s">
        <v>43</v>
      </c>
      <c r="B47" s="1">
        <v>1190</v>
      </c>
      <c r="C47" s="1">
        <v>1785</v>
      </c>
      <c r="D47" s="1">
        <f t="shared" si="6"/>
        <v>595</v>
      </c>
      <c r="E47" s="1">
        <f t="shared" si="4"/>
        <v>595</v>
      </c>
      <c r="F47" s="5">
        <f t="shared" si="5"/>
        <v>0.54488888888888887</v>
      </c>
      <c r="G47">
        <v>0</v>
      </c>
      <c r="H47">
        <v>3.8</v>
      </c>
      <c r="I47" t="str">
        <f t="shared" si="7"/>
        <v>Average</v>
      </c>
      <c r="J47" t="str">
        <f t="shared" si="8"/>
        <v>High Discount</v>
      </c>
    </row>
    <row r="48" spans="1:10" x14ac:dyDescent="0.75">
      <c r="A48" t="s">
        <v>44</v>
      </c>
      <c r="B48" s="1">
        <v>671</v>
      </c>
      <c r="C48" s="1">
        <v>1316</v>
      </c>
      <c r="D48" s="1">
        <f t="shared" si="6"/>
        <v>645</v>
      </c>
      <c r="E48" s="1">
        <f t="shared" si="4"/>
        <v>645</v>
      </c>
      <c r="F48" s="5">
        <f t="shared" si="5"/>
        <v>0.3508500772797527</v>
      </c>
      <c r="G48">
        <v>0</v>
      </c>
      <c r="H48">
        <v>3.8</v>
      </c>
      <c r="I48" t="str">
        <f t="shared" si="7"/>
        <v>Average</v>
      </c>
      <c r="J48" t="str">
        <f t="shared" si="8"/>
        <v>Medium Discount</v>
      </c>
    </row>
    <row r="49" spans="1:10" x14ac:dyDescent="0.75">
      <c r="A49" t="s">
        <v>45</v>
      </c>
      <c r="B49" s="1">
        <v>1200</v>
      </c>
      <c r="C49" s="1">
        <v>1950</v>
      </c>
      <c r="D49" s="1">
        <f t="shared" si="6"/>
        <v>750</v>
      </c>
      <c r="E49" s="1">
        <f t="shared" si="4"/>
        <v>750</v>
      </c>
      <c r="F49" s="5">
        <f t="shared" si="5"/>
        <v>0.18181818181818182</v>
      </c>
      <c r="G49">
        <v>0</v>
      </c>
      <c r="H49">
        <v>3.8</v>
      </c>
      <c r="I49" t="str">
        <f t="shared" si="7"/>
        <v>Average</v>
      </c>
      <c r="J49" t="str">
        <f t="shared" si="8"/>
        <v>Low discount</v>
      </c>
    </row>
    <row r="50" spans="1:10" x14ac:dyDescent="0.75">
      <c r="A50" t="s">
        <v>46</v>
      </c>
      <c r="B50" s="1">
        <v>199</v>
      </c>
      <c r="C50" s="1">
        <v>504</v>
      </c>
      <c r="D50" s="1">
        <f t="shared" si="6"/>
        <v>305</v>
      </c>
      <c r="E50" s="1">
        <f t="shared" si="4"/>
        <v>305</v>
      </c>
      <c r="F50" s="5">
        <f t="shared" si="5"/>
        <v>0.32160804020100503</v>
      </c>
      <c r="G50">
        <v>0</v>
      </c>
      <c r="H50">
        <v>3.8</v>
      </c>
      <c r="I50" t="str">
        <f t="shared" si="7"/>
        <v>Average</v>
      </c>
      <c r="J50" t="str">
        <f t="shared" si="8"/>
        <v>Medium Discount</v>
      </c>
    </row>
    <row r="51" spans="1:10" x14ac:dyDescent="0.75">
      <c r="A51" t="s">
        <v>47</v>
      </c>
      <c r="B51" s="1">
        <v>299</v>
      </c>
      <c r="C51" s="1">
        <v>600</v>
      </c>
      <c r="D51" s="1">
        <f t="shared" si="6"/>
        <v>301</v>
      </c>
      <c r="E51" s="1">
        <f t="shared" si="4"/>
        <v>301</v>
      </c>
      <c r="F51" s="5">
        <f t="shared" si="5"/>
        <v>0.2965186074429772</v>
      </c>
      <c r="G51">
        <v>0</v>
      </c>
      <c r="H51">
        <v>3.8</v>
      </c>
      <c r="I51" t="str">
        <f t="shared" si="7"/>
        <v>Average</v>
      </c>
      <c r="J51" t="str">
        <f t="shared" si="8"/>
        <v>Medium Discount</v>
      </c>
    </row>
    <row r="52" spans="1:10" x14ac:dyDescent="0.75">
      <c r="A52" t="s">
        <v>48</v>
      </c>
      <c r="B52" s="1">
        <v>1660</v>
      </c>
      <c r="C52" s="1">
        <v>1699</v>
      </c>
      <c r="D52" s="1">
        <f t="shared" si="6"/>
        <v>39</v>
      </c>
      <c r="E52" s="1">
        <f t="shared" si="4"/>
        <v>39</v>
      </c>
      <c r="F52" s="5">
        <f t="shared" si="5"/>
        <v>0.46078431372549017</v>
      </c>
      <c r="G52">
        <v>0</v>
      </c>
      <c r="H52">
        <v>3.8</v>
      </c>
      <c r="I52" t="str">
        <f t="shared" si="7"/>
        <v>Average</v>
      </c>
      <c r="J52" t="str">
        <f t="shared" si="8"/>
        <v>High Discount</v>
      </c>
    </row>
    <row r="53" spans="1:10" x14ac:dyDescent="0.75">
      <c r="A53" t="s">
        <v>49</v>
      </c>
      <c r="B53" s="1">
        <v>299</v>
      </c>
      <c r="C53" s="1">
        <v>384</v>
      </c>
      <c r="D53" s="1">
        <f t="shared" si="6"/>
        <v>85</v>
      </c>
      <c r="E53" s="1">
        <f t="shared" si="4"/>
        <v>85</v>
      </c>
      <c r="F53" s="5">
        <f t="shared" si="5"/>
        <v>0.51570680628272247</v>
      </c>
      <c r="G53">
        <v>0</v>
      </c>
      <c r="H53">
        <v>3.8</v>
      </c>
      <c r="I53" t="str">
        <f t="shared" si="7"/>
        <v>Average</v>
      </c>
      <c r="J53" t="str">
        <f t="shared" si="8"/>
        <v>High Discount</v>
      </c>
    </row>
    <row r="54" spans="1:10" x14ac:dyDescent="0.75">
      <c r="A54" t="s">
        <v>50</v>
      </c>
      <c r="B54" s="1">
        <v>1459</v>
      </c>
      <c r="C54" s="1">
        <v>1499</v>
      </c>
      <c r="D54" s="1">
        <f t="shared" si="6"/>
        <v>40</v>
      </c>
      <c r="E54" s="1">
        <f t="shared" si="4"/>
        <v>40</v>
      </c>
      <c r="F54" s="5">
        <f t="shared" si="5"/>
        <v>0.34228187919463088</v>
      </c>
      <c r="G54">
        <v>0</v>
      </c>
      <c r="H54">
        <v>3.8</v>
      </c>
      <c r="I54" t="str">
        <f t="shared" si="7"/>
        <v>Average</v>
      </c>
      <c r="J54" t="str">
        <f t="shared" si="8"/>
        <v>Medium Discount</v>
      </c>
    </row>
    <row r="55" spans="1:10" x14ac:dyDescent="0.75">
      <c r="A55" t="s">
        <v>51</v>
      </c>
      <c r="B55" s="1">
        <v>799</v>
      </c>
      <c r="C55" s="1">
        <v>1343</v>
      </c>
      <c r="D55" s="1">
        <f t="shared" si="6"/>
        <v>544</v>
      </c>
      <c r="E55" s="1">
        <f t="shared" si="4"/>
        <v>544</v>
      </c>
      <c r="F55" s="5">
        <f t="shared" ref="F55:F86" si="9">(C34-B34)/C34</f>
        <v>0.47851002865329512</v>
      </c>
      <c r="G55">
        <v>0</v>
      </c>
      <c r="H55">
        <v>3.8</v>
      </c>
      <c r="I55" t="str">
        <f t="shared" si="7"/>
        <v>Average</v>
      </c>
      <c r="J55" t="str">
        <f t="shared" si="8"/>
        <v>High Discount</v>
      </c>
    </row>
    <row r="56" spans="1:10" x14ac:dyDescent="0.75">
      <c r="A56" t="s">
        <v>52</v>
      </c>
      <c r="B56" s="1">
        <v>499</v>
      </c>
      <c r="C56" s="1">
        <v>900</v>
      </c>
      <c r="D56" s="1">
        <f t="shared" si="6"/>
        <v>401</v>
      </c>
      <c r="E56" s="1">
        <f t="shared" si="4"/>
        <v>401</v>
      </c>
      <c r="F56" s="5">
        <f t="shared" si="9"/>
        <v>0.26792452830188679</v>
      </c>
      <c r="G56">
        <v>0</v>
      </c>
      <c r="H56">
        <v>3.8</v>
      </c>
      <c r="I56" t="str">
        <f t="shared" si="7"/>
        <v>Average</v>
      </c>
      <c r="J56" t="str">
        <f t="shared" si="8"/>
        <v>Medium Discount</v>
      </c>
    </row>
    <row r="57" spans="1:10" x14ac:dyDescent="0.75">
      <c r="A57" t="s">
        <v>53</v>
      </c>
      <c r="B57" s="1">
        <v>699</v>
      </c>
      <c r="C57" s="1">
        <v>1343</v>
      </c>
      <c r="D57" s="1">
        <f t="shared" si="6"/>
        <v>644</v>
      </c>
      <c r="E57" s="1">
        <f t="shared" si="4"/>
        <v>644</v>
      </c>
      <c r="F57" s="5">
        <f t="shared" si="9"/>
        <v>0.26639496109670247</v>
      </c>
      <c r="G57">
        <v>0</v>
      </c>
      <c r="H57">
        <v>3.8</v>
      </c>
      <c r="I57" t="str">
        <f t="shared" si="7"/>
        <v>Average</v>
      </c>
      <c r="J57" t="str">
        <f t="shared" si="8"/>
        <v>Medium Discount</v>
      </c>
    </row>
    <row r="58" spans="1:10" x14ac:dyDescent="0.75">
      <c r="A58" t="s">
        <v>54</v>
      </c>
      <c r="B58" s="1">
        <v>799</v>
      </c>
      <c r="C58" s="1">
        <v>1567</v>
      </c>
      <c r="D58" s="1">
        <f t="shared" si="6"/>
        <v>768</v>
      </c>
      <c r="E58" s="1">
        <f t="shared" si="4"/>
        <v>768</v>
      </c>
      <c r="F58" s="5">
        <f t="shared" si="9"/>
        <v>0.39776951672862454</v>
      </c>
      <c r="G58">
        <v>0</v>
      </c>
      <c r="H58">
        <v>3.8</v>
      </c>
      <c r="I58" t="str">
        <f t="shared" si="7"/>
        <v>Average</v>
      </c>
      <c r="J58" t="str">
        <f t="shared" si="8"/>
        <v>Medium Discount</v>
      </c>
    </row>
    <row r="59" spans="1:10" x14ac:dyDescent="0.75">
      <c r="A59" t="s">
        <v>55</v>
      </c>
      <c r="B59" s="1">
        <v>2799</v>
      </c>
      <c r="C59" s="1">
        <v>3810</v>
      </c>
      <c r="D59" s="1">
        <f t="shared" si="6"/>
        <v>1011</v>
      </c>
      <c r="E59" s="1">
        <f t="shared" si="4"/>
        <v>1011</v>
      </c>
      <c r="F59" s="5">
        <f t="shared" si="9"/>
        <v>0.52500000000000002</v>
      </c>
      <c r="G59">
        <v>0</v>
      </c>
      <c r="H59">
        <v>3.8</v>
      </c>
      <c r="I59" t="str">
        <f t="shared" si="7"/>
        <v>Average</v>
      </c>
      <c r="J59" t="str">
        <f t="shared" si="8"/>
        <v>High Discount</v>
      </c>
    </row>
    <row r="60" spans="1:10" x14ac:dyDescent="0.75">
      <c r="A60" t="s">
        <v>56</v>
      </c>
      <c r="B60" s="1">
        <v>2170</v>
      </c>
      <c r="C60" s="1">
        <v>2500</v>
      </c>
      <c r="D60" s="1">
        <f t="shared" si="6"/>
        <v>330</v>
      </c>
      <c r="E60" s="1">
        <f t="shared" si="4"/>
        <v>330</v>
      </c>
      <c r="F60" s="5">
        <f t="shared" si="9"/>
        <v>0.40701219512195119</v>
      </c>
      <c r="G60">
        <v>6</v>
      </c>
      <c r="H60">
        <v>2.5</v>
      </c>
      <c r="I60" t="str">
        <f t="shared" si="7"/>
        <v>Poor</v>
      </c>
      <c r="J60" t="str">
        <f t="shared" si="8"/>
        <v>High Discount</v>
      </c>
    </row>
    <row r="61" spans="1:10" x14ac:dyDescent="0.75">
      <c r="A61" t="s">
        <v>57</v>
      </c>
      <c r="B61" s="1">
        <v>458</v>
      </c>
      <c r="C61" s="1">
        <v>986</v>
      </c>
      <c r="D61" s="1">
        <f t="shared" si="6"/>
        <v>528</v>
      </c>
      <c r="E61" s="1">
        <f t="shared" si="4"/>
        <v>528</v>
      </c>
      <c r="F61" s="5">
        <f t="shared" si="9"/>
        <v>0.33333333333333331</v>
      </c>
      <c r="G61">
        <v>10</v>
      </c>
      <c r="H61">
        <v>3</v>
      </c>
      <c r="I61" t="str">
        <f t="shared" si="7"/>
        <v>Average</v>
      </c>
      <c r="J61" t="str">
        <f t="shared" si="8"/>
        <v>Medium Discount</v>
      </c>
    </row>
    <row r="62" spans="1:10" x14ac:dyDescent="0.75">
      <c r="A62" t="s">
        <v>58</v>
      </c>
      <c r="B62" s="1">
        <v>2115</v>
      </c>
      <c r="C62" s="1">
        <v>4700</v>
      </c>
      <c r="D62" s="1">
        <f t="shared" si="6"/>
        <v>2585</v>
      </c>
      <c r="E62" s="1">
        <f t="shared" si="4"/>
        <v>2585</v>
      </c>
      <c r="F62" s="5">
        <f t="shared" si="9"/>
        <v>0.38492507269067322</v>
      </c>
      <c r="G62">
        <v>13</v>
      </c>
      <c r="H62">
        <v>2.1</v>
      </c>
      <c r="I62" t="str">
        <f t="shared" si="7"/>
        <v>Poor</v>
      </c>
      <c r="J62" t="str">
        <f t="shared" si="8"/>
        <v>Medium Discount</v>
      </c>
    </row>
    <row r="63" spans="1:10" x14ac:dyDescent="0.75">
      <c r="A63" t="s">
        <v>59</v>
      </c>
      <c r="B63" s="1">
        <v>445</v>
      </c>
      <c r="C63" s="1">
        <v>873</v>
      </c>
      <c r="D63" s="1">
        <f t="shared" si="6"/>
        <v>428</v>
      </c>
      <c r="E63" s="1">
        <f t="shared" si="4"/>
        <v>428</v>
      </c>
      <c r="F63" s="5">
        <f t="shared" si="9"/>
        <v>0.48979591836734693</v>
      </c>
      <c r="G63">
        <v>69</v>
      </c>
      <c r="H63">
        <v>2.8</v>
      </c>
      <c r="I63" t="str">
        <f t="shared" si="7"/>
        <v>Poor</v>
      </c>
      <c r="J63" t="str">
        <f t="shared" si="8"/>
        <v>High Discount</v>
      </c>
    </row>
    <row r="64" spans="1:10" x14ac:dyDescent="0.75">
      <c r="A64" t="s">
        <v>60</v>
      </c>
      <c r="B64" s="1">
        <v>325</v>
      </c>
      <c r="C64" s="1">
        <v>680</v>
      </c>
      <c r="D64" s="1">
        <f t="shared" si="6"/>
        <v>355</v>
      </c>
      <c r="E64" s="1">
        <f t="shared" si="4"/>
        <v>355</v>
      </c>
      <c r="F64" s="5">
        <f t="shared" si="9"/>
        <v>0.5</v>
      </c>
      <c r="G64">
        <v>15</v>
      </c>
      <c r="H64">
        <v>2.7</v>
      </c>
      <c r="I64" t="str">
        <f t="shared" si="7"/>
        <v>Poor</v>
      </c>
      <c r="J64" t="str">
        <f t="shared" si="8"/>
        <v>High Discount</v>
      </c>
    </row>
    <row r="65" spans="1:10" x14ac:dyDescent="0.75">
      <c r="A65" t="s">
        <v>61</v>
      </c>
      <c r="B65" s="1">
        <v>1220</v>
      </c>
      <c r="C65" s="1">
        <v>1555</v>
      </c>
      <c r="D65" s="1">
        <f t="shared" si="6"/>
        <v>335</v>
      </c>
      <c r="E65" s="1">
        <f t="shared" si="4"/>
        <v>335</v>
      </c>
      <c r="F65" s="5">
        <f t="shared" si="9"/>
        <v>0.42452830188679247</v>
      </c>
      <c r="G65">
        <v>16</v>
      </c>
      <c r="H65">
        <v>2.9</v>
      </c>
      <c r="I65" t="str">
        <f t="shared" si="7"/>
        <v>Poor</v>
      </c>
      <c r="J65" t="str">
        <f t="shared" si="8"/>
        <v>High Discount</v>
      </c>
    </row>
    <row r="66" spans="1:10" x14ac:dyDescent="0.75">
      <c r="A66" t="s">
        <v>62</v>
      </c>
      <c r="B66" s="1">
        <v>990</v>
      </c>
      <c r="C66" s="1">
        <v>1814</v>
      </c>
      <c r="D66" s="1">
        <f t="shared" ref="D66:D97" si="10">C66-B66</f>
        <v>824</v>
      </c>
      <c r="E66" s="1">
        <f t="shared" si="4"/>
        <v>824</v>
      </c>
      <c r="F66" s="5">
        <f t="shared" si="9"/>
        <v>1.705855232826187E-2</v>
      </c>
      <c r="G66">
        <v>6</v>
      </c>
      <c r="H66">
        <v>2.2000000000000002</v>
      </c>
      <c r="I66" t="str">
        <f t="shared" ref="I66:I97" si="11">IF(H66&lt;3,"Poor",IF(H66&lt;4.5,"Average","Excellent"))</f>
        <v>Poor</v>
      </c>
      <c r="J66" t="str">
        <f t="shared" ref="J66:J97" si="12">IF(F66&lt;20%,"Low discount",IF(F66&lt;= 40%,"Medium Discount","High Discount"))</f>
        <v>Low discount</v>
      </c>
    </row>
    <row r="67" spans="1:10" x14ac:dyDescent="0.75">
      <c r="A67" t="s">
        <v>63</v>
      </c>
      <c r="B67" s="1">
        <v>1000</v>
      </c>
      <c r="C67" s="1">
        <v>2000</v>
      </c>
      <c r="D67" s="1">
        <f t="shared" si="10"/>
        <v>1000</v>
      </c>
      <c r="E67" s="1">
        <f t="shared" ref="E67:E110" si="13">C67-B67</f>
        <v>1000</v>
      </c>
      <c r="F67" s="5">
        <f t="shared" si="9"/>
        <v>0.50049999999999994</v>
      </c>
      <c r="G67">
        <v>7</v>
      </c>
      <c r="H67">
        <v>2.2999999999999998</v>
      </c>
      <c r="I67" t="str">
        <f t="shared" si="11"/>
        <v>Poor</v>
      </c>
      <c r="J67" t="str">
        <f t="shared" si="12"/>
        <v>High Discount</v>
      </c>
    </row>
    <row r="68" spans="1:10" x14ac:dyDescent="0.75">
      <c r="A68" t="s">
        <v>64</v>
      </c>
      <c r="B68" s="1">
        <v>3750</v>
      </c>
      <c r="C68" s="1">
        <v>6143</v>
      </c>
      <c r="D68" s="1">
        <f t="shared" si="10"/>
        <v>2393</v>
      </c>
      <c r="E68" s="1">
        <f t="shared" si="13"/>
        <v>2393</v>
      </c>
      <c r="F68" s="5">
        <f t="shared" si="9"/>
        <v>0.33333333333333331</v>
      </c>
      <c r="G68">
        <v>5</v>
      </c>
      <c r="H68">
        <v>3</v>
      </c>
      <c r="I68" t="str">
        <f t="shared" si="11"/>
        <v>Average</v>
      </c>
      <c r="J68" t="str">
        <f t="shared" si="12"/>
        <v>Medium Discount</v>
      </c>
    </row>
    <row r="69" spans="1:10" x14ac:dyDescent="0.75">
      <c r="A69" t="s">
        <v>65</v>
      </c>
      <c r="B69" s="1">
        <v>382</v>
      </c>
      <c r="C69" s="1">
        <v>700</v>
      </c>
      <c r="D69" s="1">
        <f t="shared" si="10"/>
        <v>318</v>
      </c>
      <c r="E69" s="1">
        <f t="shared" si="13"/>
        <v>318</v>
      </c>
      <c r="F69" s="5">
        <f t="shared" si="9"/>
        <v>0.49012158054711247</v>
      </c>
      <c r="G69">
        <v>17</v>
      </c>
      <c r="H69">
        <v>2.6</v>
      </c>
      <c r="I69" t="str">
        <f t="shared" si="11"/>
        <v>Poor</v>
      </c>
      <c r="J69" t="str">
        <f t="shared" si="12"/>
        <v>High Discount</v>
      </c>
    </row>
    <row r="70" spans="1:10" x14ac:dyDescent="0.75">
      <c r="A70" t="s">
        <v>66</v>
      </c>
      <c r="B70" s="1">
        <v>2300</v>
      </c>
      <c r="C70" s="1">
        <v>3240</v>
      </c>
      <c r="D70" s="1">
        <f t="shared" si="10"/>
        <v>940</v>
      </c>
      <c r="E70" s="1">
        <f t="shared" si="13"/>
        <v>940</v>
      </c>
      <c r="F70" s="5">
        <f t="shared" si="9"/>
        <v>0.38461538461538464</v>
      </c>
      <c r="G70">
        <v>5</v>
      </c>
      <c r="H70">
        <v>3</v>
      </c>
      <c r="I70" t="str">
        <f t="shared" si="11"/>
        <v>Average</v>
      </c>
      <c r="J70" t="str">
        <f t="shared" si="12"/>
        <v>Medium Discount</v>
      </c>
    </row>
    <row r="71" spans="1:10" x14ac:dyDescent="0.75">
      <c r="A71" t="s">
        <v>67</v>
      </c>
      <c r="B71" s="1">
        <v>345</v>
      </c>
      <c r="C71" s="1">
        <v>602</v>
      </c>
      <c r="D71" s="1">
        <f t="shared" si="10"/>
        <v>257</v>
      </c>
      <c r="E71" s="1">
        <f t="shared" si="13"/>
        <v>257</v>
      </c>
      <c r="F71" s="5">
        <f t="shared" si="9"/>
        <v>0.60515873015873012</v>
      </c>
      <c r="G71">
        <v>6</v>
      </c>
      <c r="H71">
        <v>2.2999999999999998</v>
      </c>
      <c r="I71" t="str">
        <f t="shared" si="11"/>
        <v>Poor</v>
      </c>
      <c r="J71" t="str">
        <f t="shared" si="12"/>
        <v>High Discount</v>
      </c>
    </row>
    <row r="72" spans="1:10" x14ac:dyDescent="0.75">
      <c r="A72" t="s">
        <v>68</v>
      </c>
      <c r="B72" s="1">
        <v>509</v>
      </c>
      <c r="C72" s="1">
        <v>899</v>
      </c>
      <c r="D72" s="1">
        <f t="shared" si="10"/>
        <v>390</v>
      </c>
      <c r="E72" s="1">
        <f t="shared" si="13"/>
        <v>390</v>
      </c>
      <c r="F72" s="5">
        <f t="shared" si="9"/>
        <v>0.50166666666666671</v>
      </c>
      <c r="G72">
        <v>5</v>
      </c>
      <c r="H72">
        <v>3</v>
      </c>
      <c r="I72" t="str">
        <f t="shared" si="11"/>
        <v>Average</v>
      </c>
      <c r="J72" t="str">
        <f t="shared" si="12"/>
        <v>High Discount</v>
      </c>
    </row>
    <row r="73" spans="1:10" x14ac:dyDescent="0.75">
      <c r="A73" t="s">
        <v>110</v>
      </c>
      <c r="B73" s="1">
        <v>968</v>
      </c>
      <c r="C73" s="1">
        <v>1814</v>
      </c>
      <c r="D73" s="1">
        <f t="shared" si="10"/>
        <v>846</v>
      </c>
      <c r="E73" s="1">
        <f t="shared" si="13"/>
        <v>846</v>
      </c>
      <c r="F73" s="5">
        <f t="shared" si="9"/>
        <v>2.2954679223072396E-2</v>
      </c>
      <c r="G73">
        <v>6</v>
      </c>
      <c r="H73">
        <v>2.2000000000000002</v>
      </c>
      <c r="I73" t="str">
        <f t="shared" si="11"/>
        <v>Poor</v>
      </c>
      <c r="J73" t="str">
        <f t="shared" si="12"/>
        <v>Low discount</v>
      </c>
    </row>
    <row r="74" spans="1:10" x14ac:dyDescent="0.75">
      <c r="A74" t="s">
        <v>111</v>
      </c>
      <c r="B74" s="1">
        <v>1570</v>
      </c>
      <c r="C74" s="1">
        <v>2988</v>
      </c>
      <c r="D74" s="1">
        <f t="shared" si="10"/>
        <v>1418</v>
      </c>
      <c r="E74" s="1">
        <f t="shared" si="13"/>
        <v>1418</v>
      </c>
      <c r="F74" s="5">
        <f t="shared" si="9"/>
        <v>0.22135416666666666</v>
      </c>
      <c r="G74">
        <v>7</v>
      </c>
      <c r="H74">
        <v>2.1</v>
      </c>
      <c r="I74" t="str">
        <f t="shared" si="11"/>
        <v>Poor</v>
      </c>
      <c r="J74" t="str">
        <f t="shared" si="12"/>
        <v>Medium Discount</v>
      </c>
    </row>
    <row r="75" spans="1:10" x14ac:dyDescent="0.75">
      <c r="A75" t="s">
        <v>69</v>
      </c>
      <c r="B75" s="1">
        <v>790</v>
      </c>
      <c r="C75" s="1">
        <v>1485</v>
      </c>
      <c r="D75" s="1">
        <f t="shared" si="10"/>
        <v>695</v>
      </c>
      <c r="E75" s="1">
        <f t="shared" si="13"/>
        <v>695</v>
      </c>
      <c r="F75" s="5">
        <f t="shared" si="9"/>
        <v>2.6684456304202801E-2</v>
      </c>
      <c r="G75">
        <v>0</v>
      </c>
      <c r="H75">
        <v>3.8</v>
      </c>
      <c r="I75" t="str">
        <f t="shared" si="11"/>
        <v>Average</v>
      </c>
      <c r="J75" t="str">
        <f t="shared" si="12"/>
        <v>Low discount</v>
      </c>
    </row>
    <row r="76" spans="1:10" x14ac:dyDescent="0.75">
      <c r="A76" t="s">
        <v>70</v>
      </c>
      <c r="B76" s="1">
        <v>690</v>
      </c>
      <c r="C76" s="1">
        <v>1200</v>
      </c>
      <c r="D76" s="1">
        <f t="shared" si="10"/>
        <v>510</v>
      </c>
      <c r="E76" s="1">
        <f t="shared" si="13"/>
        <v>510</v>
      </c>
      <c r="F76" s="5">
        <f t="shared" si="9"/>
        <v>0.4050632911392405</v>
      </c>
      <c r="G76">
        <v>0</v>
      </c>
      <c r="H76">
        <v>3.8</v>
      </c>
      <c r="I76" t="str">
        <f t="shared" si="11"/>
        <v>Average</v>
      </c>
      <c r="J76" t="str">
        <f t="shared" si="12"/>
        <v>High Discount</v>
      </c>
    </row>
    <row r="77" spans="1:10" x14ac:dyDescent="0.75">
      <c r="A77" t="s">
        <v>71</v>
      </c>
      <c r="B77" s="1">
        <v>1732</v>
      </c>
      <c r="C77" s="1">
        <v>1799</v>
      </c>
      <c r="D77" s="1">
        <f t="shared" si="10"/>
        <v>67</v>
      </c>
      <c r="E77" s="1">
        <f t="shared" si="13"/>
        <v>67</v>
      </c>
      <c r="F77" s="5">
        <f t="shared" si="9"/>
        <v>0.44555555555555554</v>
      </c>
      <c r="G77">
        <v>0</v>
      </c>
      <c r="H77">
        <v>3.8</v>
      </c>
      <c r="I77" t="str">
        <f t="shared" si="11"/>
        <v>Average</v>
      </c>
      <c r="J77" t="str">
        <f t="shared" si="12"/>
        <v>High Discount</v>
      </c>
    </row>
    <row r="78" spans="1:10" x14ac:dyDescent="0.75">
      <c r="A78" t="s">
        <v>72</v>
      </c>
      <c r="B78" s="1">
        <v>230</v>
      </c>
      <c r="C78" s="1">
        <v>450</v>
      </c>
      <c r="D78" s="1">
        <f t="shared" si="10"/>
        <v>220</v>
      </c>
      <c r="E78" s="1">
        <f t="shared" si="13"/>
        <v>220</v>
      </c>
      <c r="F78" s="5">
        <f t="shared" si="9"/>
        <v>0.47952345495160087</v>
      </c>
      <c r="G78">
        <v>0</v>
      </c>
      <c r="H78">
        <v>3.8</v>
      </c>
      <c r="I78" t="str">
        <f t="shared" si="11"/>
        <v>Average</v>
      </c>
      <c r="J78" t="str">
        <f t="shared" si="12"/>
        <v>High Discount</v>
      </c>
    </row>
    <row r="79" spans="1:10" x14ac:dyDescent="0.75">
      <c r="A79" t="s">
        <v>112</v>
      </c>
      <c r="B79" s="1">
        <v>1189</v>
      </c>
      <c r="C79" s="1">
        <v>2199</v>
      </c>
      <c r="D79" s="1">
        <f t="shared" si="10"/>
        <v>1010</v>
      </c>
      <c r="E79" s="1">
        <f t="shared" si="13"/>
        <v>1010</v>
      </c>
      <c r="F79" s="5">
        <f t="shared" si="9"/>
        <v>0.49010848755583919</v>
      </c>
      <c r="G79">
        <v>1</v>
      </c>
      <c r="H79">
        <v>3</v>
      </c>
      <c r="I79" t="str">
        <f t="shared" si="11"/>
        <v>Average</v>
      </c>
      <c r="J79" t="str">
        <f t="shared" si="12"/>
        <v>High Discount</v>
      </c>
    </row>
    <row r="80" spans="1:10" x14ac:dyDescent="0.75">
      <c r="A80" t="s">
        <v>73</v>
      </c>
      <c r="B80" s="1">
        <v>979</v>
      </c>
      <c r="C80" s="1">
        <v>1920</v>
      </c>
      <c r="D80" s="1">
        <f t="shared" si="10"/>
        <v>941</v>
      </c>
      <c r="E80" s="1">
        <f t="shared" si="13"/>
        <v>941</v>
      </c>
      <c r="F80" s="5">
        <f t="shared" si="9"/>
        <v>0.26535433070866143</v>
      </c>
      <c r="G80">
        <v>1</v>
      </c>
      <c r="H80">
        <v>5</v>
      </c>
      <c r="I80" t="str">
        <f t="shared" si="11"/>
        <v>Excellent</v>
      </c>
      <c r="J80" t="str">
        <f t="shared" si="12"/>
        <v>Medium Discount</v>
      </c>
    </row>
    <row r="81" spans="1:10" x14ac:dyDescent="0.75">
      <c r="A81" t="s">
        <v>74</v>
      </c>
      <c r="B81" s="1">
        <v>1460</v>
      </c>
      <c r="C81" s="1">
        <v>2290</v>
      </c>
      <c r="D81" s="1">
        <f t="shared" si="10"/>
        <v>830</v>
      </c>
      <c r="E81" s="1">
        <f t="shared" si="13"/>
        <v>830</v>
      </c>
      <c r="F81" s="5">
        <f t="shared" si="9"/>
        <v>0.13200000000000001</v>
      </c>
      <c r="G81">
        <v>0</v>
      </c>
      <c r="H81">
        <v>3.8</v>
      </c>
      <c r="I81" t="str">
        <f t="shared" si="11"/>
        <v>Average</v>
      </c>
      <c r="J81" t="str">
        <f t="shared" si="12"/>
        <v>Low discount</v>
      </c>
    </row>
    <row r="82" spans="1:10" x14ac:dyDescent="0.75">
      <c r="A82" t="s">
        <v>75</v>
      </c>
      <c r="B82" s="1">
        <v>1666</v>
      </c>
      <c r="C82" s="1">
        <v>1699</v>
      </c>
      <c r="D82" s="1">
        <f t="shared" si="10"/>
        <v>33</v>
      </c>
      <c r="E82" s="1">
        <f t="shared" si="13"/>
        <v>33</v>
      </c>
      <c r="F82" s="5">
        <f t="shared" si="9"/>
        <v>0.53549695740365111</v>
      </c>
      <c r="G82">
        <v>0</v>
      </c>
      <c r="H82">
        <v>3.8</v>
      </c>
      <c r="I82" t="str">
        <f t="shared" si="11"/>
        <v>Average</v>
      </c>
      <c r="J82" t="str">
        <f t="shared" si="12"/>
        <v>High Discount</v>
      </c>
    </row>
    <row r="83" spans="1:10" x14ac:dyDescent="0.75">
      <c r="A83" t="s">
        <v>76</v>
      </c>
      <c r="B83" s="1">
        <v>330</v>
      </c>
      <c r="C83" s="1">
        <v>647</v>
      </c>
      <c r="D83" s="1">
        <f t="shared" si="10"/>
        <v>317</v>
      </c>
      <c r="E83" s="1">
        <f t="shared" si="13"/>
        <v>317</v>
      </c>
      <c r="F83" s="5">
        <f t="shared" si="9"/>
        <v>0.55000000000000004</v>
      </c>
      <c r="G83">
        <v>1</v>
      </c>
      <c r="H83">
        <v>4</v>
      </c>
      <c r="I83" t="str">
        <f t="shared" si="11"/>
        <v>Average</v>
      </c>
      <c r="J83" t="str">
        <f t="shared" si="12"/>
        <v>High Discount</v>
      </c>
    </row>
    <row r="84" spans="1:10" x14ac:dyDescent="0.75">
      <c r="A84" t="s">
        <v>77</v>
      </c>
      <c r="B84" s="1">
        <v>1466</v>
      </c>
      <c r="C84" s="1">
        <v>1699</v>
      </c>
      <c r="D84" s="1">
        <f t="shared" si="10"/>
        <v>233</v>
      </c>
      <c r="E84" s="1">
        <f t="shared" si="13"/>
        <v>233</v>
      </c>
      <c r="F84" s="5">
        <f t="shared" si="9"/>
        <v>0.49026345933562426</v>
      </c>
      <c r="G84">
        <v>0</v>
      </c>
      <c r="H84">
        <v>3.8</v>
      </c>
      <c r="I84" t="str">
        <f t="shared" si="11"/>
        <v>Average</v>
      </c>
      <c r="J84" t="str">
        <f t="shared" si="12"/>
        <v>High Discount</v>
      </c>
    </row>
    <row r="85" spans="1:10" x14ac:dyDescent="0.75">
      <c r="A85" t="s">
        <v>78</v>
      </c>
      <c r="B85" s="1">
        <v>274</v>
      </c>
      <c r="C85" s="1">
        <v>537</v>
      </c>
      <c r="D85" s="1">
        <f t="shared" si="10"/>
        <v>263</v>
      </c>
      <c r="E85" s="1">
        <f t="shared" si="13"/>
        <v>263</v>
      </c>
      <c r="F85" s="5">
        <f t="shared" si="9"/>
        <v>0.5220588235294118</v>
      </c>
      <c r="G85">
        <v>0</v>
      </c>
      <c r="H85">
        <v>3.8</v>
      </c>
      <c r="I85" t="str">
        <f t="shared" si="11"/>
        <v>Average</v>
      </c>
      <c r="J85" t="str">
        <f t="shared" si="12"/>
        <v>High Discount</v>
      </c>
    </row>
    <row r="86" spans="1:10" x14ac:dyDescent="0.75">
      <c r="A86" t="s">
        <v>79</v>
      </c>
      <c r="B86" s="1">
        <v>799</v>
      </c>
      <c r="C86" s="1">
        <v>900</v>
      </c>
      <c r="D86" s="1">
        <f t="shared" si="10"/>
        <v>101</v>
      </c>
      <c r="E86" s="1">
        <f t="shared" si="13"/>
        <v>101</v>
      </c>
      <c r="F86" s="5">
        <f t="shared" si="9"/>
        <v>0.21543408360128619</v>
      </c>
      <c r="G86">
        <v>0</v>
      </c>
      <c r="H86">
        <v>3.8</v>
      </c>
      <c r="I86" t="str">
        <f t="shared" si="11"/>
        <v>Average</v>
      </c>
      <c r="J86" t="str">
        <f t="shared" si="12"/>
        <v>Medium Discount</v>
      </c>
    </row>
    <row r="87" spans="1:10" x14ac:dyDescent="0.75">
      <c r="A87" t="s">
        <v>80</v>
      </c>
      <c r="B87" s="1">
        <v>1468</v>
      </c>
      <c r="C87" s="1">
        <v>1699</v>
      </c>
      <c r="D87" s="1">
        <f t="shared" si="10"/>
        <v>231</v>
      </c>
      <c r="E87" s="1">
        <f t="shared" si="13"/>
        <v>231</v>
      </c>
      <c r="F87" s="5">
        <f t="shared" ref="F87:F110" si="14">(C66-B66)/C66</f>
        <v>0.45424476295479604</v>
      </c>
      <c r="G87">
        <v>0</v>
      </c>
      <c r="H87">
        <v>3.8</v>
      </c>
      <c r="I87" t="str">
        <f t="shared" si="11"/>
        <v>Average</v>
      </c>
      <c r="J87" t="str">
        <f t="shared" si="12"/>
        <v>High Discount</v>
      </c>
    </row>
    <row r="88" spans="1:10" x14ac:dyDescent="0.75">
      <c r="A88" t="s">
        <v>81</v>
      </c>
      <c r="B88" s="1">
        <v>630</v>
      </c>
      <c r="C88" s="1">
        <v>1100</v>
      </c>
      <c r="D88" s="1">
        <f t="shared" si="10"/>
        <v>470</v>
      </c>
      <c r="E88" s="1">
        <f t="shared" si="13"/>
        <v>470</v>
      </c>
      <c r="F88" s="5">
        <f t="shared" si="14"/>
        <v>0.5</v>
      </c>
      <c r="G88">
        <v>0</v>
      </c>
      <c r="H88">
        <v>3.8</v>
      </c>
      <c r="I88" t="str">
        <f t="shared" si="11"/>
        <v>Average</v>
      </c>
      <c r="J88" t="str">
        <f t="shared" si="12"/>
        <v>High Discount</v>
      </c>
    </row>
    <row r="89" spans="1:10" x14ac:dyDescent="0.75">
      <c r="A89" t="s">
        <v>82</v>
      </c>
      <c r="B89" s="1">
        <v>850</v>
      </c>
      <c r="C89" s="1">
        <v>1700</v>
      </c>
      <c r="D89" s="1">
        <f t="shared" si="10"/>
        <v>850</v>
      </c>
      <c r="E89" s="1">
        <f t="shared" si="13"/>
        <v>850</v>
      </c>
      <c r="F89" s="5">
        <f t="shared" si="14"/>
        <v>0.38954908025394758</v>
      </c>
      <c r="G89">
        <v>0</v>
      </c>
      <c r="H89">
        <v>3.8</v>
      </c>
      <c r="I89" t="str">
        <f t="shared" si="11"/>
        <v>Average</v>
      </c>
      <c r="J89" t="str">
        <f t="shared" si="12"/>
        <v>Medium Discount</v>
      </c>
    </row>
    <row r="90" spans="1:10" x14ac:dyDescent="0.75">
      <c r="A90" t="s">
        <v>83</v>
      </c>
      <c r="B90" s="1">
        <v>1300</v>
      </c>
      <c r="C90" s="1">
        <v>2500</v>
      </c>
      <c r="D90" s="1">
        <f t="shared" si="10"/>
        <v>1200</v>
      </c>
      <c r="E90" s="1">
        <f t="shared" si="13"/>
        <v>1200</v>
      </c>
      <c r="F90" s="5">
        <f t="shared" si="14"/>
        <v>0.45428571428571429</v>
      </c>
      <c r="G90">
        <v>0</v>
      </c>
      <c r="H90">
        <v>3.8</v>
      </c>
      <c r="I90" t="str">
        <f t="shared" si="11"/>
        <v>Average</v>
      </c>
      <c r="J90" t="str">
        <f t="shared" si="12"/>
        <v>High Discount</v>
      </c>
    </row>
    <row r="91" spans="1:10" x14ac:dyDescent="0.75">
      <c r="A91" t="s">
        <v>84</v>
      </c>
      <c r="B91" s="1">
        <v>105</v>
      </c>
      <c r="C91" s="1">
        <v>200</v>
      </c>
      <c r="D91" s="1">
        <f t="shared" si="10"/>
        <v>95</v>
      </c>
      <c r="E91" s="1">
        <f t="shared" si="13"/>
        <v>95</v>
      </c>
      <c r="F91" s="5">
        <f t="shared" si="14"/>
        <v>0.29012345679012347</v>
      </c>
      <c r="G91">
        <v>0</v>
      </c>
      <c r="H91">
        <v>3.8</v>
      </c>
      <c r="I91" t="str">
        <f t="shared" si="11"/>
        <v>Average</v>
      </c>
      <c r="J91" t="str">
        <f t="shared" si="12"/>
        <v>Medium Discount</v>
      </c>
    </row>
    <row r="92" spans="1:10" x14ac:dyDescent="0.75">
      <c r="A92" t="s">
        <v>85</v>
      </c>
      <c r="B92" s="1">
        <v>899</v>
      </c>
      <c r="C92" s="1">
        <v>1699</v>
      </c>
      <c r="D92" s="1">
        <f t="shared" si="10"/>
        <v>800</v>
      </c>
      <c r="E92" s="1">
        <f t="shared" si="13"/>
        <v>800</v>
      </c>
      <c r="F92" s="5">
        <f t="shared" si="14"/>
        <v>0.42691029900332228</v>
      </c>
      <c r="G92">
        <v>0</v>
      </c>
      <c r="H92">
        <v>3.8</v>
      </c>
      <c r="I92" t="str">
        <f t="shared" si="11"/>
        <v>Average</v>
      </c>
      <c r="J92" t="str">
        <f t="shared" si="12"/>
        <v>High Discount</v>
      </c>
    </row>
    <row r="93" spans="1:10" x14ac:dyDescent="0.75">
      <c r="A93" t="s">
        <v>86</v>
      </c>
      <c r="B93" s="1">
        <v>1200</v>
      </c>
      <c r="C93" s="1">
        <v>2400</v>
      </c>
      <c r="D93" s="1">
        <f t="shared" si="10"/>
        <v>1200</v>
      </c>
      <c r="E93" s="1">
        <f t="shared" si="13"/>
        <v>1200</v>
      </c>
      <c r="F93" s="5">
        <f t="shared" si="14"/>
        <v>0.43381535038932145</v>
      </c>
      <c r="G93">
        <v>0</v>
      </c>
      <c r="H93">
        <v>3.8</v>
      </c>
      <c r="I93" t="str">
        <f t="shared" si="11"/>
        <v>Average</v>
      </c>
      <c r="J93" t="str">
        <f t="shared" si="12"/>
        <v>High Discount</v>
      </c>
    </row>
    <row r="94" spans="1:10" x14ac:dyDescent="0.75">
      <c r="A94" t="s">
        <v>87</v>
      </c>
      <c r="B94" s="1">
        <v>1526</v>
      </c>
      <c r="C94" s="1">
        <v>1660</v>
      </c>
      <c r="D94" s="1">
        <f t="shared" si="10"/>
        <v>134</v>
      </c>
      <c r="E94" s="1">
        <f t="shared" si="13"/>
        <v>134</v>
      </c>
      <c r="F94" s="5">
        <f t="shared" si="14"/>
        <v>0.46637265711135611</v>
      </c>
      <c r="G94">
        <v>0</v>
      </c>
      <c r="H94">
        <v>3.8</v>
      </c>
      <c r="I94" t="str">
        <f t="shared" si="11"/>
        <v>Average</v>
      </c>
      <c r="J94" t="str">
        <f t="shared" si="12"/>
        <v>High Discount</v>
      </c>
    </row>
    <row r="95" spans="1:10" x14ac:dyDescent="0.75">
      <c r="A95" t="s">
        <v>88</v>
      </c>
      <c r="B95" s="1">
        <v>1462</v>
      </c>
      <c r="C95" s="1">
        <v>1499</v>
      </c>
      <c r="D95" s="1">
        <f t="shared" si="10"/>
        <v>37</v>
      </c>
      <c r="E95" s="1">
        <f t="shared" si="13"/>
        <v>37</v>
      </c>
      <c r="F95" s="5">
        <f t="shared" si="14"/>
        <v>0.4745649263721553</v>
      </c>
      <c r="G95">
        <v>0</v>
      </c>
      <c r="H95">
        <v>3.8</v>
      </c>
      <c r="I95" t="str">
        <f t="shared" si="11"/>
        <v>Average</v>
      </c>
      <c r="J95" t="str">
        <f t="shared" si="12"/>
        <v>High Discount</v>
      </c>
    </row>
    <row r="96" spans="1:10" x14ac:dyDescent="0.75">
      <c r="A96" t="s">
        <v>89</v>
      </c>
      <c r="B96" s="1">
        <v>248</v>
      </c>
      <c r="C96" s="1">
        <v>486</v>
      </c>
      <c r="D96" s="1">
        <f t="shared" si="10"/>
        <v>238</v>
      </c>
      <c r="E96" s="1">
        <f t="shared" si="13"/>
        <v>238</v>
      </c>
      <c r="F96" s="5">
        <f t="shared" si="14"/>
        <v>0.46801346801346799</v>
      </c>
      <c r="G96">
        <v>0</v>
      </c>
      <c r="H96">
        <v>3.8</v>
      </c>
      <c r="I96" t="str">
        <f t="shared" si="11"/>
        <v>Average</v>
      </c>
      <c r="J96" t="str">
        <f t="shared" si="12"/>
        <v>High Discount</v>
      </c>
    </row>
    <row r="97" spans="1:10" x14ac:dyDescent="0.75">
      <c r="A97" t="s">
        <v>90</v>
      </c>
      <c r="B97" s="1">
        <v>3546</v>
      </c>
      <c r="C97" s="1">
        <v>3699</v>
      </c>
      <c r="D97" s="1">
        <f t="shared" si="10"/>
        <v>153</v>
      </c>
      <c r="E97" s="1">
        <f t="shared" si="13"/>
        <v>153</v>
      </c>
      <c r="F97" s="5">
        <f t="shared" si="14"/>
        <v>0.42499999999999999</v>
      </c>
      <c r="G97">
        <v>0</v>
      </c>
      <c r="H97">
        <v>3.8</v>
      </c>
      <c r="I97" t="str">
        <f t="shared" si="11"/>
        <v>Average</v>
      </c>
      <c r="J97" t="str">
        <f t="shared" si="12"/>
        <v>High Discount</v>
      </c>
    </row>
    <row r="98" spans="1:10" x14ac:dyDescent="0.75">
      <c r="A98" t="s">
        <v>91</v>
      </c>
      <c r="B98" s="1">
        <v>525</v>
      </c>
      <c r="C98" s="1">
        <v>1029</v>
      </c>
      <c r="D98" s="1">
        <f t="shared" ref="D98:D110" si="15">C98-B98</f>
        <v>504</v>
      </c>
      <c r="E98" s="1">
        <f t="shared" si="13"/>
        <v>504</v>
      </c>
      <c r="F98" s="5">
        <f t="shared" si="14"/>
        <v>3.7242912729294052E-2</v>
      </c>
      <c r="G98">
        <v>0</v>
      </c>
      <c r="H98">
        <v>3.8</v>
      </c>
      <c r="I98" t="str">
        <f t="shared" ref="I98:I110" si="16">IF(H98&lt;3,"Poor",IF(H98&lt;4.5,"Average","Excellent"))</f>
        <v>Average</v>
      </c>
      <c r="J98" t="str">
        <f t="shared" ref="J98:J110" si="17">IF(F98&lt;20%,"Low discount",IF(F98&lt;= 40%,"Medium Discount","High Discount"))</f>
        <v>Low discount</v>
      </c>
    </row>
    <row r="99" spans="1:10" x14ac:dyDescent="0.75">
      <c r="A99" t="s">
        <v>92</v>
      </c>
      <c r="B99" s="1">
        <v>1080</v>
      </c>
      <c r="C99" s="1">
        <v>1874</v>
      </c>
      <c r="D99" s="1">
        <f t="shared" si="15"/>
        <v>794</v>
      </c>
      <c r="E99" s="1">
        <f t="shared" si="13"/>
        <v>794</v>
      </c>
      <c r="F99" s="5">
        <f t="shared" si="14"/>
        <v>0.48888888888888887</v>
      </c>
      <c r="G99">
        <v>0</v>
      </c>
      <c r="H99">
        <v>3.8</v>
      </c>
      <c r="I99" t="str">
        <f t="shared" si="16"/>
        <v>Average</v>
      </c>
      <c r="J99" t="str">
        <f t="shared" si="17"/>
        <v>High Discount</v>
      </c>
    </row>
    <row r="100" spans="1:10" x14ac:dyDescent="0.75">
      <c r="A100" t="s">
        <v>113</v>
      </c>
      <c r="B100" s="1">
        <v>3640</v>
      </c>
      <c r="C100" s="1">
        <v>4588</v>
      </c>
      <c r="D100" s="1">
        <f t="shared" si="15"/>
        <v>948</v>
      </c>
      <c r="E100" s="1">
        <f t="shared" si="13"/>
        <v>948</v>
      </c>
      <c r="F100" s="5">
        <f t="shared" si="14"/>
        <v>0.45929968167348795</v>
      </c>
      <c r="G100">
        <v>1</v>
      </c>
      <c r="H100">
        <v>5</v>
      </c>
      <c r="I100" t="str">
        <f t="shared" si="16"/>
        <v>Excellent</v>
      </c>
      <c r="J100" t="str">
        <f t="shared" si="17"/>
        <v>High Discount</v>
      </c>
    </row>
    <row r="101" spans="1:10" x14ac:dyDescent="0.75">
      <c r="A101" t="s">
        <v>114</v>
      </c>
      <c r="B101" s="1">
        <v>1420</v>
      </c>
      <c r="C101" s="1">
        <v>2420</v>
      </c>
      <c r="D101" s="1">
        <f t="shared" si="15"/>
        <v>1000</v>
      </c>
      <c r="E101" s="1">
        <f t="shared" si="13"/>
        <v>1000</v>
      </c>
      <c r="F101" s="5">
        <f t="shared" si="14"/>
        <v>0.49010416666666667</v>
      </c>
      <c r="G101">
        <v>0</v>
      </c>
      <c r="H101">
        <v>3.8</v>
      </c>
      <c r="I101" t="str">
        <f t="shared" si="16"/>
        <v>Average</v>
      </c>
      <c r="J101" t="str">
        <f t="shared" si="17"/>
        <v>High Discount</v>
      </c>
    </row>
    <row r="102" spans="1:10" x14ac:dyDescent="0.75">
      <c r="A102" t="s">
        <v>93</v>
      </c>
      <c r="B102" s="1">
        <v>1875</v>
      </c>
      <c r="C102" s="1">
        <v>1899</v>
      </c>
      <c r="D102" s="1">
        <f t="shared" si="15"/>
        <v>24</v>
      </c>
      <c r="E102" s="1">
        <f t="shared" si="13"/>
        <v>24</v>
      </c>
      <c r="F102" s="5">
        <f t="shared" si="14"/>
        <v>0.36244541484716158</v>
      </c>
      <c r="G102">
        <v>0</v>
      </c>
      <c r="H102">
        <v>3.8</v>
      </c>
      <c r="I102" t="str">
        <f t="shared" si="16"/>
        <v>Average</v>
      </c>
      <c r="J102" t="str">
        <f t="shared" si="17"/>
        <v>Medium Discount</v>
      </c>
    </row>
    <row r="103" spans="1:10" x14ac:dyDescent="0.75">
      <c r="A103" t="s">
        <v>94</v>
      </c>
      <c r="B103" s="1">
        <v>198</v>
      </c>
      <c r="C103" s="1">
        <v>260</v>
      </c>
      <c r="D103" s="1">
        <f t="shared" si="15"/>
        <v>62</v>
      </c>
      <c r="E103" s="1">
        <f t="shared" si="13"/>
        <v>62</v>
      </c>
      <c r="F103" s="5">
        <f t="shared" si="14"/>
        <v>1.9423190111830489E-2</v>
      </c>
      <c r="G103">
        <v>0</v>
      </c>
      <c r="H103">
        <v>3.8</v>
      </c>
      <c r="I103" t="str">
        <f t="shared" si="16"/>
        <v>Average</v>
      </c>
      <c r="J103" t="str">
        <f t="shared" si="17"/>
        <v>Low discount</v>
      </c>
    </row>
    <row r="104" spans="1:10" x14ac:dyDescent="0.75">
      <c r="A104" t="s">
        <v>95</v>
      </c>
      <c r="B104" s="1">
        <v>1150</v>
      </c>
      <c r="C104" s="1">
        <v>1737</v>
      </c>
      <c r="D104" s="1">
        <f t="shared" si="15"/>
        <v>587</v>
      </c>
      <c r="E104" s="1">
        <f t="shared" si="13"/>
        <v>587</v>
      </c>
      <c r="F104" s="5">
        <f t="shared" si="14"/>
        <v>0.48995363214837712</v>
      </c>
      <c r="G104">
        <v>0</v>
      </c>
      <c r="H104">
        <v>3.8</v>
      </c>
      <c r="I104" t="str">
        <f t="shared" si="16"/>
        <v>Average</v>
      </c>
      <c r="J104" t="str">
        <f t="shared" si="17"/>
        <v>High Discount</v>
      </c>
    </row>
    <row r="105" spans="1:10" x14ac:dyDescent="0.75">
      <c r="A105" t="s">
        <v>96</v>
      </c>
      <c r="B105" s="1">
        <v>1190</v>
      </c>
      <c r="C105" s="1">
        <v>1810</v>
      </c>
      <c r="D105" s="1">
        <f t="shared" si="15"/>
        <v>620</v>
      </c>
      <c r="E105" s="1">
        <f t="shared" si="13"/>
        <v>620</v>
      </c>
      <c r="F105" s="5">
        <f t="shared" si="14"/>
        <v>0.13713949381989404</v>
      </c>
      <c r="G105">
        <v>0</v>
      </c>
      <c r="H105">
        <v>3.8</v>
      </c>
      <c r="I105" t="str">
        <f t="shared" si="16"/>
        <v>Average</v>
      </c>
      <c r="J105" t="str">
        <f t="shared" si="17"/>
        <v>Low discount</v>
      </c>
    </row>
    <row r="106" spans="1:10" x14ac:dyDescent="0.75">
      <c r="A106" t="s">
        <v>97</v>
      </c>
      <c r="B106" s="1">
        <v>1658</v>
      </c>
      <c r="C106" s="1">
        <v>1699</v>
      </c>
      <c r="D106" s="1">
        <f t="shared" si="15"/>
        <v>41</v>
      </c>
      <c r="E106" s="1">
        <f t="shared" si="13"/>
        <v>41</v>
      </c>
      <c r="F106" s="5">
        <f t="shared" si="14"/>
        <v>0.48975791433891991</v>
      </c>
      <c r="G106">
        <v>0</v>
      </c>
      <c r="H106">
        <v>3.8</v>
      </c>
      <c r="I106" t="str">
        <f t="shared" si="16"/>
        <v>Average</v>
      </c>
      <c r="J106" t="str">
        <f t="shared" si="17"/>
        <v>High Discount</v>
      </c>
    </row>
    <row r="107" spans="1:10" x14ac:dyDescent="0.75">
      <c r="A107" t="s">
        <v>98</v>
      </c>
      <c r="B107" s="1">
        <v>1768</v>
      </c>
      <c r="C107" s="1">
        <v>1799</v>
      </c>
      <c r="D107" s="1">
        <f t="shared" si="15"/>
        <v>31</v>
      </c>
      <c r="E107" s="1">
        <f t="shared" si="13"/>
        <v>31</v>
      </c>
      <c r="F107" s="5">
        <f t="shared" si="14"/>
        <v>0.11222222222222222</v>
      </c>
      <c r="G107">
        <v>0</v>
      </c>
      <c r="H107">
        <v>3.8</v>
      </c>
      <c r="I107" t="str">
        <f t="shared" si="16"/>
        <v>Average</v>
      </c>
      <c r="J107" t="str">
        <f t="shared" si="17"/>
        <v>Low discount</v>
      </c>
    </row>
    <row r="108" spans="1:10" x14ac:dyDescent="0.75">
      <c r="A108" t="s">
        <v>99</v>
      </c>
      <c r="B108" s="1">
        <v>199</v>
      </c>
      <c r="C108" s="1">
        <v>553</v>
      </c>
      <c r="D108" s="1">
        <f t="shared" si="15"/>
        <v>354</v>
      </c>
      <c r="E108" s="1">
        <f t="shared" si="13"/>
        <v>354</v>
      </c>
      <c r="F108" s="5">
        <f t="shared" si="14"/>
        <v>0.13596233078281342</v>
      </c>
      <c r="G108">
        <v>0</v>
      </c>
      <c r="H108">
        <v>3.8</v>
      </c>
      <c r="I108" t="str">
        <f t="shared" si="16"/>
        <v>Average</v>
      </c>
      <c r="J108" t="str">
        <f t="shared" si="17"/>
        <v>Low discount</v>
      </c>
    </row>
    <row r="109" spans="1:10" x14ac:dyDescent="0.75">
      <c r="A109" t="s">
        <v>100</v>
      </c>
      <c r="B109" s="1">
        <v>450</v>
      </c>
      <c r="C109" s="1">
        <v>900</v>
      </c>
      <c r="D109" s="1">
        <f t="shared" si="15"/>
        <v>450</v>
      </c>
      <c r="E109" s="1">
        <f t="shared" si="13"/>
        <v>450</v>
      </c>
      <c r="F109" s="5">
        <f t="shared" si="14"/>
        <v>0.42727272727272725</v>
      </c>
      <c r="G109">
        <v>1</v>
      </c>
      <c r="H109">
        <v>2</v>
      </c>
      <c r="I109" t="str">
        <f t="shared" si="16"/>
        <v>Poor</v>
      </c>
      <c r="J109" t="str">
        <f t="shared" si="17"/>
        <v>High Discount</v>
      </c>
    </row>
    <row r="110" spans="1:10" x14ac:dyDescent="0.75">
      <c r="A110" t="s">
        <v>101</v>
      </c>
      <c r="B110" s="1">
        <v>169</v>
      </c>
      <c r="C110" s="1">
        <v>320</v>
      </c>
      <c r="D110" s="1">
        <f t="shared" si="15"/>
        <v>151</v>
      </c>
      <c r="E110" s="1">
        <f t="shared" si="13"/>
        <v>151</v>
      </c>
      <c r="F110" s="5">
        <f t="shared" si="14"/>
        <v>0.5</v>
      </c>
      <c r="G110">
        <v>0</v>
      </c>
      <c r="H110">
        <v>3.8</v>
      </c>
      <c r="I110" t="str">
        <f t="shared" si="16"/>
        <v>Average</v>
      </c>
      <c r="J110" t="str">
        <f t="shared" si="17"/>
        <v>High Discount</v>
      </c>
    </row>
    <row r="111" spans="1:10" x14ac:dyDescent="0.75">
      <c r="B111" s="1">
        <f>AVERAGE(B2:B110)</f>
        <v>1208.2568807339449</v>
      </c>
      <c r="C111" s="1">
        <f>AVERAGE(C2:C110)</f>
        <v>1837.7522935779816</v>
      </c>
      <c r="F111" s="5">
        <f>AVERAGE(F23:F110)</f>
        <v>0.37391729300471349</v>
      </c>
      <c r="G111">
        <f>AVERAGE(G2:G110)</f>
        <v>6.6330275229357802</v>
      </c>
      <c r="H111">
        <f>AVERAGE(H2:H110)</f>
        <v>3.8467889908256936</v>
      </c>
    </row>
    <row r="112" spans="1:10" x14ac:dyDescent="0.75">
      <c r="B112"/>
      <c r="C112"/>
      <c r="D112"/>
      <c r="E112"/>
      <c r="F112"/>
    </row>
    <row r="113" customFormat="1" x14ac:dyDescent="0.75"/>
    <row r="114" customFormat="1" x14ac:dyDescent="0.75"/>
    <row r="115" customFormat="1" x14ac:dyDescent="0.75"/>
    <row r="116" customFormat="1" x14ac:dyDescent="0.75"/>
  </sheetData>
  <autoFilter ref="H1:H116" xr:uid="{DF9ADE60-7284-47F3-90A6-2B92F9088739}"/>
  <conditionalFormatting sqref="B1:B1048576">
    <cfRule type="top10" dxfId="18" priority="5" bottom="1" rank="1"/>
    <cfRule type="top10" dxfId="17" priority="6" rank="1"/>
  </conditionalFormatting>
  <conditionalFormatting sqref="F2:F116">
    <cfRule type="top10" dxfId="16" priority="10" rank="10"/>
  </conditionalFormatting>
  <conditionalFormatting sqref="G1:G1048576">
    <cfRule type="top10" dxfId="15" priority="9" rank="10"/>
  </conditionalFormatting>
  <conditionalFormatting sqref="H1:H1048576">
    <cfRule type="top10" dxfId="14" priority="7" bottom="1" rank="10"/>
    <cfRule type="top10" dxfId="13" priority="8" rank="5"/>
  </conditionalFormatting>
  <conditionalFormatting sqref="F1:F1048576">
    <cfRule type="top10" dxfId="12" priority="4" bottom="1" rank="10"/>
  </conditionalFormatting>
  <conditionalFormatting sqref="J1:J1048576">
    <cfRule type="top10" dxfId="0" priority="3" bottom="1" rank="5"/>
    <cfRule type="containsText" dxfId="1" priority="2" operator="containsText" text="high discount">
      <formula>NOT(ISERROR(SEARCH("high discount",J1)))</formula>
    </cfRule>
    <cfRule type="containsText" dxfId="2" priority="1" operator="containsText" text="low discount">
      <formula>NOT(ISERROR(SEARCH("low discount",J1)))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216F8-B77B-4AE4-A001-0FB4CA4E6AE0}">
  <dimension ref="A2:K31"/>
  <sheetViews>
    <sheetView tabSelected="1" topLeftCell="A22" workbookViewId="0">
      <selection activeCell="E27" sqref="E27"/>
    </sheetView>
  </sheetViews>
  <sheetFormatPr defaultRowHeight="14.75" x14ac:dyDescent="0.75"/>
  <cols>
    <col min="1" max="10" width="8.7265625" style="12"/>
    <col min="11" max="11" width="10.54296875" style="12" bestFit="1" customWidth="1"/>
    <col min="12" max="16384" width="8.7265625" style="12"/>
  </cols>
  <sheetData>
    <row r="2" spans="1:11" x14ac:dyDescent="0.75">
      <c r="A2" s="2" t="s">
        <v>148</v>
      </c>
    </row>
    <row r="3" spans="1:11" x14ac:dyDescent="0.75">
      <c r="A3" s="2"/>
      <c r="B3" s="12" t="s">
        <v>163</v>
      </c>
    </row>
    <row r="4" spans="1:11" x14ac:dyDescent="0.75">
      <c r="A4" s="2" t="s">
        <v>149</v>
      </c>
      <c r="E4" s="5"/>
      <c r="G4"/>
    </row>
    <row r="5" spans="1:11" x14ac:dyDescent="0.75">
      <c r="A5" s="12" t="s">
        <v>150</v>
      </c>
      <c r="C5" t="s">
        <v>64</v>
      </c>
      <c r="K5" s="1">
        <v>3750</v>
      </c>
    </row>
    <row r="6" spans="1:11" x14ac:dyDescent="0.75">
      <c r="A6" s="12" t="s">
        <v>151</v>
      </c>
      <c r="C6" t="s">
        <v>24</v>
      </c>
      <c r="K6" s="1">
        <v>38</v>
      </c>
    </row>
    <row r="7" spans="1:11" x14ac:dyDescent="0.75">
      <c r="D7" s="1"/>
    </row>
    <row r="8" spans="1:11" x14ac:dyDescent="0.75">
      <c r="A8" s="2" t="s">
        <v>152</v>
      </c>
    </row>
    <row r="10" spans="1:11" x14ac:dyDescent="0.75">
      <c r="A10" s="2" t="s">
        <v>153</v>
      </c>
    </row>
    <row r="13" spans="1:11" x14ac:dyDescent="0.75">
      <c r="A13" s="2" t="s">
        <v>154</v>
      </c>
    </row>
    <row r="14" spans="1:11" x14ac:dyDescent="0.75">
      <c r="B14" s="12" t="s">
        <v>156</v>
      </c>
    </row>
    <row r="15" spans="1:11" x14ac:dyDescent="0.75">
      <c r="A15" s="2" t="s">
        <v>155</v>
      </c>
    </row>
    <row r="16" spans="1:11" x14ac:dyDescent="0.75">
      <c r="B16" s="12" t="s">
        <v>157</v>
      </c>
    </row>
    <row r="17" spans="1:2" x14ac:dyDescent="0.75">
      <c r="B17" s="12" t="s">
        <v>158</v>
      </c>
    </row>
    <row r="19" spans="1:2" x14ac:dyDescent="0.75">
      <c r="A19" s="2" t="s">
        <v>159</v>
      </c>
    </row>
    <row r="20" spans="1:2" x14ac:dyDescent="0.75">
      <c r="B20" s="12" t="s">
        <v>160</v>
      </c>
    </row>
    <row r="22" spans="1:2" x14ac:dyDescent="0.75">
      <c r="A22" s="2" t="s">
        <v>161</v>
      </c>
    </row>
    <row r="23" spans="1:2" x14ac:dyDescent="0.75">
      <c r="B23" s="12" t="s">
        <v>162</v>
      </c>
    </row>
    <row r="25" spans="1:2" x14ac:dyDescent="0.75">
      <c r="A25" s="2" t="s">
        <v>164</v>
      </c>
    </row>
    <row r="26" spans="1:2" x14ac:dyDescent="0.75">
      <c r="B26" s="12" t="s">
        <v>168</v>
      </c>
    </row>
    <row r="27" spans="1:2" x14ac:dyDescent="0.75">
      <c r="A27" s="2" t="s">
        <v>165</v>
      </c>
    </row>
    <row r="28" spans="1:2" x14ac:dyDescent="0.75">
      <c r="B28" s="12" t="s">
        <v>168</v>
      </c>
    </row>
    <row r="29" spans="1:2" x14ac:dyDescent="0.75">
      <c r="A29" s="2" t="s">
        <v>166</v>
      </c>
    </row>
    <row r="30" spans="1:2" x14ac:dyDescent="0.75">
      <c r="B30" s="12" t="s">
        <v>168</v>
      </c>
    </row>
    <row r="31" spans="1:2" x14ac:dyDescent="0.75">
      <c r="A31" s="2" t="s">
        <v>167</v>
      </c>
    </row>
  </sheetData>
  <conditionalFormatting sqref="E4">
    <cfRule type="top10" dxfId="49" priority="10" rank="10"/>
  </conditionalFormatting>
  <conditionalFormatting sqref="G4">
    <cfRule type="top10" dxfId="48" priority="9" rank="10"/>
  </conditionalFormatting>
  <conditionalFormatting sqref="K5">
    <cfRule type="top10" dxfId="47" priority="7" bottom="1" rank="1"/>
    <cfRule type="top10" dxfId="46" priority="8" rank="1"/>
  </conditionalFormatting>
  <conditionalFormatting sqref="D7">
    <cfRule type="top10" dxfId="45" priority="5" bottom="1" rank="1"/>
    <cfRule type="top10" dxfId="44" priority="6" rank="1"/>
  </conditionalFormatting>
  <conditionalFormatting sqref="K6">
    <cfRule type="top10" dxfId="41" priority="1" bottom="1" rank="1"/>
    <cfRule type="top10" dxfId="40" priority="2" rank="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productsbyrating</vt:lpstr>
      <vt:lpstr>nofReviews</vt:lpstr>
      <vt:lpstr>avgrating</vt:lpstr>
      <vt:lpstr>numproducts</vt:lpstr>
      <vt:lpstr>toprating</vt:lpstr>
      <vt:lpstr>topprodreview</vt:lpstr>
      <vt:lpstr>Avgdiscount%</vt:lpstr>
      <vt:lpstr>topbydiscount</vt:lpstr>
      <vt:lpstr>Dashboard</vt:lpstr>
      <vt:lpstr>discount%vs reviews</vt:lpstr>
      <vt:lpstr>Ratingvsreviews</vt:lpstr>
      <vt:lpstr>productsbydiscount</vt:lpstr>
      <vt:lpstr>Excel_jumia</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murimi kelvin</dc:creator>
  <cp:lastModifiedBy>murimi kelvin</cp:lastModifiedBy>
  <dcterms:created xsi:type="dcterms:W3CDTF">2026-01-26T07:12:37Z</dcterms:created>
  <dcterms:modified xsi:type="dcterms:W3CDTF">2026-01-29T17:22:17Z</dcterms:modified>
</cp:coreProperties>
</file>